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jok mabie\EXCEL\DATASET\"/>
    </mc:Choice>
  </mc:AlternateContent>
  <xr:revisionPtr revIDLastSave="0" documentId="13_ncr:1_{47E094F0-E30B-406A-B644-EFFDC542BEB9}" xr6:coauthVersionLast="47" xr6:coauthVersionMax="47" xr10:uidLastSave="{00000000-0000-0000-0000-000000000000}"/>
  <bookViews>
    <workbookView xWindow="-120" yWindow="-120" windowWidth="20730" windowHeight="11160" firstSheet="1" activeTab="8" xr2:uid="{339C496C-E5CF-4F4E-9FC3-DEC819E1A5F6}"/>
  </bookViews>
  <sheets>
    <sheet name="IF" sheetId="1" r:id="rId1"/>
    <sheet name="AND" sheetId="2" r:id="rId2"/>
    <sheet name="OR" sheetId="3" r:id="rId3"/>
    <sheet name="IFS" sheetId="4" r:id="rId4"/>
    <sheet name="SUMIF" sheetId="5" r:id="rId5"/>
    <sheet name="SUMIFS" sheetId="6" r:id="rId6"/>
    <sheet name="COUNTIF" sheetId="7" r:id="rId7"/>
    <sheet name="COUNTIFS" sheetId="8" r:id="rId8"/>
    <sheet name="AVERAGEIF" sheetId="9" r:id="rId9"/>
    <sheet name="AVERAGEIFS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" i="6" l="1"/>
  <c r="K5" i="6"/>
  <c r="K6" i="6"/>
  <c r="K7" i="6"/>
  <c r="K8" i="6"/>
  <c r="K9" i="6"/>
  <c r="K10" i="6"/>
  <c r="K11" i="6"/>
  <c r="K12" i="6"/>
  <c r="K13" i="6"/>
  <c r="K14" i="6"/>
  <c r="K15" i="6"/>
  <c r="K3" i="6"/>
  <c r="K2" i="6"/>
  <c r="M9" i="7"/>
  <c r="M7" i="7"/>
  <c r="M2" i="7"/>
  <c r="K3" i="7"/>
  <c r="K4" i="7"/>
  <c r="K5" i="7"/>
  <c r="K6" i="7"/>
  <c r="K7" i="7"/>
  <c r="K8" i="7"/>
  <c r="K9" i="7"/>
  <c r="K10" i="7"/>
  <c r="K11" i="7"/>
  <c r="K12" i="7"/>
  <c r="K13" i="7"/>
  <c r="K14" i="7"/>
  <c r="K15" i="7"/>
  <c r="K16" i="7"/>
  <c r="M6" i="5"/>
  <c r="J10" i="5"/>
  <c r="I8" i="4" a="1"/>
  <c r="I8" i="4" s="1"/>
  <c r="I4" i="4" a="1"/>
  <c r="I4" i="4" s="1"/>
  <c r="J2" i="1"/>
  <c r="I2" i="1"/>
  <c r="K3" i="9"/>
  <c r="K10" i="8"/>
  <c r="K8" i="8"/>
  <c r="K2" i="8"/>
  <c r="K5" i="8"/>
  <c r="K2" i="7"/>
  <c r="J2" i="3"/>
  <c r="N3" i="1" a="1"/>
  <c r="N3" i="1" s="1"/>
  <c r="L7" i="5"/>
  <c r="L8" i="5"/>
  <c r="L9" i="5"/>
  <c r="L10" i="5"/>
  <c r="L11" i="5"/>
  <c r="L12" i="5"/>
  <c r="L13" i="5"/>
  <c r="L14" i="5"/>
  <c r="L15" i="5"/>
  <c r="L16" i="5"/>
  <c r="K7" i="5"/>
  <c r="K8" i="5"/>
  <c r="K9" i="5"/>
  <c r="K10" i="5"/>
  <c r="K11" i="5"/>
  <c r="K12" i="5"/>
  <c r="K13" i="5"/>
  <c r="K14" i="5"/>
  <c r="K15" i="5"/>
  <c r="K16" i="5"/>
  <c r="L6" i="5"/>
  <c r="K6" i="5"/>
  <c r="I2" i="4" a="1"/>
  <c r="I2" i="4" s="1"/>
  <c r="I3" i="4" a="1"/>
  <c r="I3" i="4" s="1"/>
  <c r="I5" i="4" a="1"/>
  <c r="I5" i="4" s="1"/>
  <c r="I6" i="4" a="1"/>
  <c r="I6" i="4"/>
  <c r="I7" i="4" a="1"/>
  <c r="I7" i="4" s="1"/>
  <c r="I9" i="4" a="1"/>
  <c r="I9" i="4" s="1"/>
  <c r="I10" i="4" a="1"/>
  <c r="I10" i="4"/>
  <c r="I11" i="4" a="1"/>
  <c r="I11" i="4" s="1"/>
  <c r="I12" i="4" a="1"/>
  <c r="I12" i="4"/>
  <c r="I13" i="4" a="1"/>
  <c r="I13" i="4" s="1"/>
  <c r="I14" i="4" a="1"/>
  <c r="I14" i="4"/>
  <c r="I15" i="4" a="1"/>
  <c r="I15" i="4" s="1"/>
  <c r="I16" i="4" a="1"/>
  <c r="I16" i="4" s="1"/>
  <c r="J3" i="3"/>
  <c r="J4" i="3"/>
  <c r="J5" i="3"/>
  <c r="J6" i="3"/>
  <c r="J7" i="3"/>
  <c r="J8" i="3"/>
  <c r="J9" i="3"/>
  <c r="J10" i="3"/>
  <c r="J11" i="3"/>
  <c r="J12" i="3"/>
  <c r="J13" i="3"/>
  <c r="J14" i="3"/>
  <c r="J15" i="3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<sst xmlns="http://schemas.openxmlformats.org/spreadsheetml/2006/main" count="699" uniqueCount="51">
  <si>
    <t>ID</t>
  </si>
  <si>
    <t>Customer Name</t>
  </si>
  <si>
    <t>Region</t>
  </si>
  <si>
    <t>Product</t>
  </si>
  <si>
    <t>Sales</t>
  </si>
  <si>
    <t>Profit</t>
  </si>
  <si>
    <t>Target Met</t>
  </si>
  <si>
    <t>Marks</t>
  </si>
  <si>
    <t>Alice Wahome</t>
  </si>
  <si>
    <t>East</t>
  </si>
  <si>
    <t>Laptop</t>
  </si>
  <si>
    <t>Yes</t>
  </si>
  <si>
    <t>Bob Otieno</t>
  </si>
  <si>
    <t>West</t>
  </si>
  <si>
    <t>Smartphone</t>
  </si>
  <si>
    <t>No</t>
  </si>
  <si>
    <t>Charlie Njoroge</t>
  </si>
  <si>
    <t>North</t>
  </si>
  <si>
    <t>Headphones</t>
  </si>
  <si>
    <t>Diana Wanjiru</t>
  </si>
  <si>
    <t>Edward Kamau</t>
  </si>
  <si>
    <t>South</t>
  </si>
  <si>
    <t>Books</t>
  </si>
  <si>
    <t>Fiona Chebet</t>
  </si>
  <si>
    <t>George Maina</t>
  </si>
  <si>
    <t>Hannah Achieng</t>
  </si>
  <si>
    <t>Ian Mwangi</t>
  </si>
  <si>
    <t>Jane Wairimu</t>
  </si>
  <si>
    <t>Kevin Mutua</t>
  </si>
  <si>
    <t>Laura Nyambura</t>
  </si>
  <si>
    <t>Mike Oduor</t>
  </si>
  <si>
    <t>Nina Karanja</t>
  </si>
  <si>
    <t>Oscar Mutiso</t>
  </si>
  <si>
    <t>Comments</t>
  </si>
  <si>
    <t>Target met</t>
  </si>
  <si>
    <t>grades</t>
  </si>
  <si>
    <t>Total sells from laptop</t>
  </si>
  <si>
    <t>Total sells for book</t>
  </si>
  <si>
    <t>profit by headphones</t>
  </si>
  <si>
    <t xml:space="preserve"> </t>
  </si>
  <si>
    <t>Bonus Eligibility</t>
  </si>
  <si>
    <t>Sales greater than 1000</t>
  </si>
  <si>
    <t>Students with marks&gt;=50</t>
  </si>
  <si>
    <t>Count rows where Product = Headphones</t>
  </si>
  <si>
    <t>Count rows where Region = East</t>
  </si>
  <si>
    <t>Count of students with Marks ≥70 AND Target Met = Yes</t>
  </si>
  <si>
    <t>Count rows where Product = Books AND Region = West</t>
  </si>
  <si>
    <t>Count rows where Sales &gt;1000 AND Profit &gt;300</t>
  </si>
  <si>
    <t>Count of Sales where Region East</t>
  </si>
  <si>
    <t>Average Marks for students who passed (Marks ≥50)</t>
  </si>
  <si>
    <t>sales for Laptop East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</si>
</sst>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"/>
      <family val="2"/>
      <scheme val="minor"/>
    </font>
    <font>
      <b/>
      <sz val="11"/>
      <color theme="1"/>
      <name val="Aptos"/>
      <family val="2"/>
      <scheme val="minor"/>
    </font>
    <font>
      <b/>
      <sz val="11"/>
      <color theme="1"/>
      <name val="Aptos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2E9CB8"/>
      </a:accent2>
      <a:accent3>
        <a:srgbClr val="E97132"/>
      </a:accent3>
      <a:accent4>
        <a:srgbClr val="196B24"/>
      </a:accent4>
      <a:accent5>
        <a:srgbClr val="4EA72E"/>
      </a:accent5>
      <a:accent6>
        <a:srgbClr val="C80724"/>
      </a:accent6>
      <a:hlink>
        <a:srgbClr val="518B9B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52AA2-4A86-44EF-8C65-3235738D6704}">
  <dimension ref="A1:N17"/>
  <sheetViews>
    <sheetView workbookViewId="0">
      <selection activeCell="J2" sqref="J2"/>
    </sheetView>
  </sheetViews>
  <sheetFormatPr defaultRowHeight="14.25"/>
  <cols>
    <col min="1" max="1" width="2.875" bestFit="1" customWidth="1"/>
    <col min="2" max="2" width="14.375" bestFit="1" customWidth="1"/>
    <col min="3" max="3" width="6.5" bestFit="1" customWidth="1"/>
    <col min="4" max="4" width="9.75" customWidth="1"/>
    <col min="5" max="5" width="5.375" bestFit="1" customWidth="1"/>
    <col min="6" max="6" width="8.75" customWidth="1"/>
    <col min="7" max="7" width="9.375" bestFit="1" customWidth="1"/>
    <col min="8" max="8" width="5.875" bestFit="1" customWidth="1"/>
    <col min="9" max="9" width="10" customWidth="1"/>
    <col min="10" max="10" width="10.125" customWidth="1"/>
    <col min="14" max="14" width="14.625" customWidth="1"/>
  </cols>
  <sheetData>
    <row r="1" spans="1:14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33</v>
      </c>
      <c r="J1" s="1" t="s">
        <v>34</v>
      </c>
    </row>
    <row r="2" spans="1:14" ht="15">
      <c r="A2" s="2">
        <v>1</v>
      </c>
      <c r="B2" s="2" t="s">
        <v>8</v>
      </c>
      <c r="C2" s="2" t="s">
        <v>9</v>
      </c>
      <c r="D2" s="2" t="s">
        <v>10</v>
      </c>
      <c r="E2" s="2">
        <v>1200</v>
      </c>
      <c r="F2" s="2">
        <v>300</v>
      </c>
      <c r="G2" s="2" t="s">
        <v>11</v>
      </c>
      <c r="H2" s="2">
        <v>85</v>
      </c>
      <c r="I2" t="str">
        <f>IF(H2&gt;=50,"pass","fail")</f>
        <v>pass</v>
      </c>
      <c r="J2" t="str">
        <f>IF(G2="yes","achieved","not achieved")</f>
        <v>achieved</v>
      </c>
      <c r="N2" s="3" t="s">
        <v>40</v>
      </c>
    </row>
    <row r="3" spans="1:14">
      <c r="A3" s="2">
        <v>2</v>
      </c>
      <c r="B3" s="2" t="s">
        <v>12</v>
      </c>
      <c r="C3" s="2" t="s">
        <v>13</v>
      </c>
      <c r="D3" s="2" t="s">
        <v>14</v>
      </c>
      <c r="E3" s="2">
        <v>800</v>
      </c>
      <c r="F3" s="2">
        <v>200</v>
      </c>
      <c r="G3" s="2" t="s">
        <v>15</v>
      </c>
      <c r="H3" s="2">
        <v>70</v>
      </c>
      <c r="I3" t="str">
        <f t="shared" ref="I3:I16" si="0">IF(H3&gt;=50,"pass","fail")</f>
        <v>pass</v>
      </c>
      <c r="J3" t="str">
        <f t="shared" ref="J3:J16" si="1">IF(G3="yes","achieved","not achieved")</f>
        <v>not achieved</v>
      </c>
      <c r="N3" t="str" cm="1">
        <f t="array" ref="N3:N17">IF(E2:E16,"Yes","No")</f>
        <v>Yes</v>
      </c>
    </row>
    <row r="4" spans="1:14">
      <c r="A4" s="2">
        <v>3</v>
      </c>
      <c r="B4" s="2" t="s">
        <v>16</v>
      </c>
      <c r="C4" s="2" t="s">
        <v>17</v>
      </c>
      <c r="D4" s="2" t="s">
        <v>18</v>
      </c>
      <c r="E4" s="2">
        <v>500</v>
      </c>
      <c r="F4" s="2">
        <v>100</v>
      </c>
      <c r="G4" s="2" t="s">
        <v>15</v>
      </c>
      <c r="H4" s="2">
        <v>45</v>
      </c>
      <c r="I4" t="str">
        <f t="shared" si="0"/>
        <v>fail</v>
      </c>
      <c r="J4" t="str">
        <f t="shared" si="1"/>
        <v>not achieved</v>
      </c>
      <c r="N4" t="str">
        <v>Yes</v>
      </c>
    </row>
    <row r="5" spans="1:14">
      <c r="A5" s="2">
        <v>4</v>
      </c>
      <c r="B5" s="2" t="s">
        <v>19</v>
      </c>
      <c r="C5" s="2" t="s">
        <v>9</v>
      </c>
      <c r="D5" s="2" t="s">
        <v>10</v>
      </c>
      <c r="E5" s="2">
        <v>2200</v>
      </c>
      <c r="F5" s="2">
        <v>700</v>
      </c>
      <c r="G5" s="2" t="s">
        <v>11</v>
      </c>
      <c r="H5" s="2">
        <v>95</v>
      </c>
      <c r="I5" t="str">
        <f t="shared" si="0"/>
        <v>pass</v>
      </c>
      <c r="J5" t="str">
        <f t="shared" si="1"/>
        <v>achieved</v>
      </c>
      <c r="N5" t="str">
        <v>Yes</v>
      </c>
    </row>
    <row r="6" spans="1:14">
      <c r="A6" s="2">
        <v>5</v>
      </c>
      <c r="B6" s="2" t="s">
        <v>20</v>
      </c>
      <c r="C6" s="2" t="s">
        <v>21</v>
      </c>
      <c r="D6" s="2" t="s">
        <v>22</v>
      </c>
      <c r="E6" s="2">
        <v>300</v>
      </c>
      <c r="F6" s="2">
        <v>50</v>
      </c>
      <c r="G6" s="2" t="s">
        <v>15</v>
      </c>
      <c r="H6" s="2">
        <v>60</v>
      </c>
      <c r="I6" t="str">
        <f t="shared" si="0"/>
        <v>pass</v>
      </c>
      <c r="J6" t="str">
        <f t="shared" si="1"/>
        <v>not achieved</v>
      </c>
      <c r="N6" t="str">
        <v>Yes</v>
      </c>
    </row>
    <row r="7" spans="1:14">
      <c r="A7" s="2">
        <v>6</v>
      </c>
      <c r="B7" s="2" t="s">
        <v>23</v>
      </c>
      <c r="C7" s="2" t="s">
        <v>13</v>
      </c>
      <c r="D7" s="2" t="s">
        <v>18</v>
      </c>
      <c r="E7" s="2">
        <v>1500</v>
      </c>
      <c r="F7" s="2">
        <v>450</v>
      </c>
      <c r="G7" s="2" t="s">
        <v>11</v>
      </c>
      <c r="H7" s="2">
        <v>78</v>
      </c>
      <c r="I7" t="str">
        <f t="shared" si="0"/>
        <v>pass</v>
      </c>
      <c r="J7" t="str">
        <f t="shared" si="1"/>
        <v>achieved</v>
      </c>
      <c r="N7" t="str">
        <v>Yes</v>
      </c>
    </row>
    <row r="8" spans="1:14">
      <c r="A8" s="2">
        <v>7</v>
      </c>
      <c r="B8" s="2" t="s">
        <v>24</v>
      </c>
      <c r="C8" s="2" t="s">
        <v>17</v>
      </c>
      <c r="D8" s="2" t="s">
        <v>10</v>
      </c>
      <c r="E8" s="2">
        <v>900</v>
      </c>
      <c r="F8" s="2">
        <v>250</v>
      </c>
      <c r="G8" s="2" t="s">
        <v>15</v>
      </c>
      <c r="H8" s="2">
        <v>55</v>
      </c>
      <c r="I8" t="str">
        <f t="shared" si="0"/>
        <v>pass</v>
      </c>
      <c r="J8" t="str">
        <f t="shared" si="1"/>
        <v>not achieved</v>
      </c>
      <c r="N8" t="str">
        <v>Yes</v>
      </c>
    </row>
    <row r="9" spans="1:14">
      <c r="A9" s="2">
        <v>8</v>
      </c>
      <c r="B9" s="2" t="s">
        <v>25</v>
      </c>
      <c r="C9" s="2" t="s">
        <v>21</v>
      </c>
      <c r="D9" s="2" t="s">
        <v>22</v>
      </c>
      <c r="E9" s="2">
        <v>2000</v>
      </c>
      <c r="F9" s="2">
        <v>600</v>
      </c>
      <c r="G9" s="2" t="s">
        <v>11</v>
      </c>
      <c r="H9" s="2">
        <v>88</v>
      </c>
      <c r="I9" t="str">
        <f t="shared" si="0"/>
        <v>pass</v>
      </c>
      <c r="J9" t="str">
        <f t="shared" si="1"/>
        <v>achieved</v>
      </c>
      <c r="N9" t="str">
        <v>Yes</v>
      </c>
    </row>
    <row r="10" spans="1:14">
      <c r="A10" s="2">
        <v>9</v>
      </c>
      <c r="B10" s="2" t="s">
        <v>26</v>
      </c>
      <c r="C10" s="2" t="s">
        <v>9</v>
      </c>
      <c r="D10" s="2" t="s">
        <v>14</v>
      </c>
      <c r="E10" s="2">
        <v>750</v>
      </c>
      <c r="F10" s="2">
        <v>150</v>
      </c>
      <c r="G10" s="2" t="s">
        <v>15</v>
      </c>
      <c r="H10" s="2">
        <v>40</v>
      </c>
      <c r="I10" t="str">
        <f t="shared" si="0"/>
        <v>fail</v>
      </c>
      <c r="J10" t="str">
        <f t="shared" si="1"/>
        <v>not achieved</v>
      </c>
      <c r="N10" t="str">
        <v>Yes</v>
      </c>
    </row>
    <row r="11" spans="1:14">
      <c r="A11" s="2">
        <v>10</v>
      </c>
      <c r="B11" s="2" t="s">
        <v>27</v>
      </c>
      <c r="C11" s="2" t="s">
        <v>13</v>
      </c>
      <c r="D11" s="2" t="s">
        <v>22</v>
      </c>
      <c r="E11" s="2">
        <v>1300</v>
      </c>
      <c r="F11" s="2">
        <v>500</v>
      </c>
      <c r="G11" s="2" t="s">
        <v>11</v>
      </c>
      <c r="H11" s="2">
        <v>92</v>
      </c>
      <c r="I11" t="str">
        <f t="shared" si="0"/>
        <v>pass</v>
      </c>
      <c r="J11" t="str">
        <f t="shared" si="1"/>
        <v>achieved</v>
      </c>
      <c r="N11" t="str">
        <v>Yes</v>
      </c>
    </row>
    <row r="12" spans="1:14">
      <c r="A12" s="2">
        <v>11</v>
      </c>
      <c r="B12" s="2" t="s">
        <v>28</v>
      </c>
      <c r="C12" s="2" t="s">
        <v>17</v>
      </c>
      <c r="D12" s="2" t="s">
        <v>18</v>
      </c>
      <c r="E12" s="2">
        <v>600</v>
      </c>
      <c r="F12" s="2">
        <v>120</v>
      </c>
      <c r="G12" s="2" t="s">
        <v>15</v>
      </c>
      <c r="H12" s="2">
        <v>67</v>
      </c>
      <c r="I12" t="str">
        <f t="shared" si="0"/>
        <v>pass</v>
      </c>
      <c r="J12" t="str">
        <f t="shared" si="1"/>
        <v>not achieved</v>
      </c>
      <c r="N12" t="str">
        <v>Yes</v>
      </c>
    </row>
    <row r="13" spans="1:14">
      <c r="A13" s="2">
        <v>12</v>
      </c>
      <c r="B13" s="2" t="s">
        <v>29</v>
      </c>
      <c r="C13" s="2" t="s">
        <v>9</v>
      </c>
      <c r="D13" s="2" t="s">
        <v>14</v>
      </c>
      <c r="E13" s="2">
        <v>1800</v>
      </c>
      <c r="F13" s="2">
        <v>550</v>
      </c>
      <c r="G13" s="2" t="s">
        <v>11</v>
      </c>
      <c r="H13" s="2">
        <v>80</v>
      </c>
      <c r="I13" t="str">
        <f t="shared" si="0"/>
        <v>pass</v>
      </c>
      <c r="J13" t="str">
        <f t="shared" si="1"/>
        <v>achieved</v>
      </c>
      <c r="N13" t="str">
        <v>Yes</v>
      </c>
    </row>
    <row r="14" spans="1:14">
      <c r="A14" s="2">
        <v>13</v>
      </c>
      <c r="B14" s="2" t="s">
        <v>30</v>
      </c>
      <c r="C14" s="2" t="s">
        <v>21</v>
      </c>
      <c r="D14" s="2" t="s">
        <v>10</v>
      </c>
      <c r="E14" s="2">
        <v>400</v>
      </c>
      <c r="F14" s="2">
        <v>90</v>
      </c>
      <c r="G14" s="2" t="s">
        <v>15</v>
      </c>
      <c r="H14" s="2">
        <v>50</v>
      </c>
      <c r="I14" t="str">
        <f t="shared" si="0"/>
        <v>pass</v>
      </c>
      <c r="J14" t="str">
        <f t="shared" si="1"/>
        <v>not achieved</v>
      </c>
      <c r="N14" t="str">
        <v>Yes</v>
      </c>
    </row>
    <row r="15" spans="1:14">
      <c r="A15" s="2">
        <v>14</v>
      </c>
      <c r="B15" s="2" t="s">
        <v>31</v>
      </c>
      <c r="C15" s="2" t="s">
        <v>13</v>
      </c>
      <c r="D15" s="2" t="s">
        <v>18</v>
      </c>
      <c r="E15" s="2">
        <v>1100</v>
      </c>
      <c r="F15" s="2">
        <v>330</v>
      </c>
      <c r="G15" s="2" t="s">
        <v>11</v>
      </c>
      <c r="H15" s="2">
        <v>72</v>
      </c>
      <c r="I15" t="str">
        <f t="shared" si="0"/>
        <v>pass</v>
      </c>
      <c r="J15" t="str">
        <f t="shared" si="1"/>
        <v>achieved</v>
      </c>
      <c r="N15" t="str">
        <v>Yes</v>
      </c>
    </row>
    <row r="16" spans="1:14">
      <c r="A16" s="2">
        <v>15</v>
      </c>
      <c r="B16" s="2" t="s">
        <v>32</v>
      </c>
      <c r="C16" s="2" t="s">
        <v>9</v>
      </c>
      <c r="D16" s="2" t="s">
        <v>22</v>
      </c>
      <c r="E16" s="2">
        <v>950</v>
      </c>
      <c r="F16" s="2">
        <v>180</v>
      </c>
      <c r="G16" s="2" t="s">
        <v>15</v>
      </c>
      <c r="H16" s="2">
        <v>78</v>
      </c>
      <c r="I16" t="str">
        <f t="shared" si="0"/>
        <v>pass</v>
      </c>
      <c r="J16" t="str">
        <f t="shared" si="1"/>
        <v>not achieved</v>
      </c>
      <c r="N16" t="str">
        <v>Yes</v>
      </c>
    </row>
    <row r="17" spans="14:14">
      <c r="N17" t="str">
        <v>Yes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481C9-1969-4F7B-BAF5-C2EBBA576E07}">
  <dimension ref="A1:J16"/>
  <sheetViews>
    <sheetView workbookViewId="0">
      <selection activeCell="J2" sqref="J2"/>
    </sheetView>
  </sheetViews>
  <sheetFormatPr defaultRowHeight="14.25"/>
  <cols>
    <col min="1" max="1" width="2.875" bestFit="1" customWidth="1"/>
    <col min="2" max="2" width="14.375" bestFit="1" customWidth="1"/>
    <col min="3" max="3" width="6.5" bestFit="1" customWidth="1"/>
    <col min="4" max="4" width="11" bestFit="1" customWidth="1"/>
    <col min="5" max="6" width="5.375" bestFit="1" customWidth="1"/>
    <col min="7" max="7" width="9.375" bestFit="1" customWidth="1"/>
    <col min="8" max="8" width="5.875" bestFit="1" customWidth="1"/>
  </cols>
  <sheetData>
    <row r="1" spans="1:10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0">
      <c r="A2" s="2">
        <v>1</v>
      </c>
      <c r="B2" s="2" t="s">
        <v>8</v>
      </c>
      <c r="C2" s="2" t="s">
        <v>9</v>
      </c>
      <c r="D2" s="2" t="s">
        <v>10</v>
      </c>
      <c r="E2" s="2">
        <v>1200</v>
      </c>
      <c r="F2" s="2">
        <v>300</v>
      </c>
      <c r="G2" s="2" t="s">
        <v>11</v>
      </c>
      <c r="H2" s="2">
        <v>85</v>
      </c>
      <c r="J2" t="b">
        <f>AND(G2&gt;80,G2="yes")</f>
        <v>1</v>
      </c>
    </row>
    <row r="3" spans="1:10">
      <c r="A3" s="2">
        <v>2</v>
      </c>
      <c r="B3" s="2" t="s">
        <v>12</v>
      </c>
      <c r="C3" s="2" t="s">
        <v>13</v>
      </c>
      <c r="D3" s="2" t="s">
        <v>14</v>
      </c>
      <c r="E3" s="2">
        <v>800</v>
      </c>
      <c r="F3" s="2">
        <v>200</v>
      </c>
      <c r="G3" s="2" t="s">
        <v>15</v>
      </c>
      <c r="H3" s="2">
        <v>70</v>
      </c>
      <c r="J3" t="b">
        <f t="shared" ref="J3:J16" si="0">AND(G3&gt;80,G3="yes")</f>
        <v>0</v>
      </c>
    </row>
    <row r="4" spans="1:10">
      <c r="A4" s="2">
        <v>3</v>
      </c>
      <c r="B4" s="2" t="s">
        <v>16</v>
      </c>
      <c r="C4" s="2" t="s">
        <v>17</v>
      </c>
      <c r="D4" s="2" t="s">
        <v>18</v>
      </c>
      <c r="E4" s="2">
        <v>500</v>
      </c>
      <c r="F4" s="2">
        <v>100</v>
      </c>
      <c r="G4" s="2" t="s">
        <v>15</v>
      </c>
      <c r="H4" s="2">
        <v>45</v>
      </c>
      <c r="J4" t="b">
        <f t="shared" si="0"/>
        <v>0</v>
      </c>
    </row>
    <row r="5" spans="1:10">
      <c r="A5" s="2">
        <v>4</v>
      </c>
      <c r="B5" s="2" t="s">
        <v>19</v>
      </c>
      <c r="C5" s="2" t="s">
        <v>9</v>
      </c>
      <c r="D5" s="2" t="s">
        <v>10</v>
      </c>
      <c r="E5" s="2">
        <v>2200</v>
      </c>
      <c r="F5" s="2">
        <v>700</v>
      </c>
      <c r="G5" s="2" t="s">
        <v>11</v>
      </c>
      <c r="H5" s="2">
        <v>95</v>
      </c>
      <c r="J5" t="b">
        <f t="shared" si="0"/>
        <v>1</v>
      </c>
    </row>
    <row r="6" spans="1:10">
      <c r="A6" s="2">
        <v>5</v>
      </c>
      <c r="B6" s="2" t="s">
        <v>20</v>
      </c>
      <c r="C6" s="2" t="s">
        <v>21</v>
      </c>
      <c r="D6" s="2" t="s">
        <v>22</v>
      </c>
      <c r="E6" s="2">
        <v>300</v>
      </c>
      <c r="F6" s="2">
        <v>50</v>
      </c>
      <c r="G6" s="2" t="s">
        <v>15</v>
      </c>
      <c r="H6" s="2">
        <v>60</v>
      </c>
      <c r="J6" t="b">
        <f t="shared" si="0"/>
        <v>0</v>
      </c>
    </row>
    <row r="7" spans="1:10">
      <c r="A7" s="2">
        <v>6</v>
      </c>
      <c r="B7" s="2" t="s">
        <v>23</v>
      </c>
      <c r="C7" s="2" t="s">
        <v>13</v>
      </c>
      <c r="D7" s="2" t="s">
        <v>18</v>
      </c>
      <c r="E7" s="2">
        <v>1500</v>
      </c>
      <c r="F7" s="2">
        <v>450</v>
      </c>
      <c r="G7" s="2" t="s">
        <v>11</v>
      </c>
      <c r="H7" s="2">
        <v>78</v>
      </c>
      <c r="J7" t="b">
        <f t="shared" si="0"/>
        <v>1</v>
      </c>
    </row>
    <row r="8" spans="1:10">
      <c r="A8" s="2">
        <v>7</v>
      </c>
      <c r="B8" s="2" t="s">
        <v>24</v>
      </c>
      <c r="C8" s="2" t="s">
        <v>17</v>
      </c>
      <c r="D8" s="2" t="s">
        <v>10</v>
      </c>
      <c r="E8" s="2">
        <v>900</v>
      </c>
      <c r="F8" s="2">
        <v>250</v>
      </c>
      <c r="G8" s="2" t="s">
        <v>15</v>
      </c>
      <c r="H8" s="2">
        <v>55</v>
      </c>
      <c r="J8" t="b">
        <f t="shared" si="0"/>
        <v>0</v>
      </c>
    </row>
    <row r="9" spans="1:10">
      <c r="A9" s="2">
        <v>8</v>
      </c>
      <c r="B9" s="2" t="s">
        <v>25</v>
      </c>
      <c r="C9" s="2" t="s">
        <v>21</v>
      </c>
      <c r="D9" s="2" t="s">
        <v>22</v>
      </c>
      <c r="E9" s="2">
        <v>2000</v>
      </c>
      <c r="F9" s="2">
        <v>600</v>
      </c>
      <c r="G9" s="2" t="s">
        <v>11</v>
      </c>
      <c r="H9" s="2">
        <v>88</v>
      </c>
      <c r="J9" t="b">
        <f t="shared" si="0"/>
        <v>1</v>
      </c>
    </row>
    <row r="10" spans="1:10">
      <c r="A10" s="2">
        <v>9</v>
      </c>
      <c r="B10" s="2" t="s">
        <v>26</v>
      </c>
      <c r="C10" s="2" t="s">
        <v>9</v>
      </c>
      <c r="D10" s="2" t="s">
        <v>14</v>
      </c>
      <c r="E10" s="2">
        <v>750</v>
      </c>
      <c r="F10" s="2">
        <v>150</v>
      </c>
      <c r="G10" s="2" t="s">
        <v>15</v>
      </c>
      <c r="H10" s="2">
        <v>40</v>
      </c>
      <c r="J10" t="b">
        <f t="shared" si="0"/>
        <v>0</v>
      </c>
    </row>
    <row r="11" spans="1:10">
      <c r="A11" s="2">
        <v>10</v>
      </c>
      <c r="B11" s="2" t="s">
        <v>27</v>
      </c>
      <c r="C11" s="2" t="s">
        <v>13</v>
      </c>
      <c r="D11" s="2" t="s">
        <v>22</v>
      </c>
      <c r="E11" s="2">
        <v>1300</v>
      </c>
      <c r="F11" s="2">
        <v>500</v>
      </c>
      <c r="G11" s="2" t="s">
        <v>11</v>
      </c>
      <c r="H11" s="2">
        <v>92</v>
      </c>
      <c r="J11" t="b">
        <f t="shared" si="0"/>
        <v>1</v>
      </c>
    </row>
    <row r="12" spans="1:10">
      <c r="A12" s="2">
        <v>11</v>
      </c>
      <c r="B12" s="2" t="s">
        <v>28</v>
      </c>
      <c r="C12" s="2" t="s">
        <v>17</v>
      </c>
      <c r="D12" s="2" t="s">
        <v>18</v>
      </c>
      <c r="E12" s="2">
        <v>600</v>
      </c>
      <c r="F12" s="2">
        <v>120</v>
      </c>
      <c r="G12" s="2" t="s">
        <v>15</v>
      </c>
      <c r="H12" s="2">
        <v>67</v>
      </c>
      <c r="J12" t="b">
        <f t="shared" si="0"/>
        <v>0</v>
      </c>
    </row>
    <row r="13" spans="1:10">
      <c r="A13" s="2">
        <v>12</v>
      </c>
      <c r="B13" s="2" t="s">
        <v>29</v>
      </c>
      <c r="C13" s="2" t="s">
        <v>9</v>
      </c>
      <c r="D13" s="2" t="s">
        <v>14</v>
      </c>
      <c r="E13" s="2">
        <v>1800</v>
      </c>
      <c r="F13" s="2">
        <v>550</v>
      </c>
      <c r="G13" s="2" t="s">
        <v>11</v>
      </c>
      <c r="H13" s="2">
        <v>80</v>
      </c>
      <c r="J13" t="b">
        <f t="shared" si="0"/>
        <v>1</v>
      </c>
    </row>
    <row r="14" spans="1:10">
      <c r="A14" s="2">
        <v>13</v>
      </c>
      <c r="B14" s="2" t="s">
        <v>30</v>
      </c>
      <c r="C14" s="2" t="s">
        <v>21</v>
      </c>
      <c r="D14" s="2" t="s">
        <v>10</v>
      </c>
      <c r="E14" s="2">
        <v>400</v>
      </c>
      <c r="F14" s="2">
        <v>90</v>
      </c>
      <c r="G14" s="2" t="s">
        <v>15</v>
      </c>
      <c r="H14" s="2">
        <v>50</v>
      </c>
      <c r="J14" t="b">
        <f t="shared" si="0"/>
        <v>0</v>
      </c>
    </row>
    <row r="15" spans="1:10">
      <c r="A15" s="2">
        <v>14</v>
      </c>
      <c r="B15" s="2" t="s">
        <v>31</v>
      </c>
      <c r="C15" s="2" t="s">
        <v>13</v>
      </c>
      <c r="D15" s="2" t="s">
        <v>18</v>
      </c>
      <c r="E15" s="2">
        <v>1100</v>
      </c>
      <c r="F15" s="2">
        <v>330</v>
      </c>
      <c r="G15" s="2" t="s">
        <v>11</v>
      </c>
      <c r="H15" s="2">
        <v>72</v>
      </c>
      <c r="J15" t="b">
        <f t="shared" si="0"/>
        <v>1</v>
      </c>
    </row>
    <row r="16" spans="1:10">
      <c r="A16" s="2">
        <v>15</v>
      </c>
      <c r="B16" s="2" t="s">
        <v>32</v>
      </c>
      <c r="C16" s="2" t="s">
        <v>9</v>
      </c>
      <c r="D16" s="2" t="s">
        <v>22</v>
      </c>
      <c r="E16" s="2">
        <v>950</v>
      </c>
      <c r="F16" s="2">
        <v>180</v>
      </c>
      <c r="G16" s="2" t="s">
        <v>15</v>
      </c>
      <c r="J16" t="b">
        <f t="shared" si="0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D9D47-FD5B-48A4-8E06-FF908C4303F6}">
  <dimension ref="A1:J16"/>
  <sheetViews>
    <sheetView workbookViewId="0">
      <selection activeCell="J3" sqref="J3"/>
    </sheetView>
  </sheetViews>
  <sheetFormatPr defaultRowHeight="14.25"/>
  <cols>
    <col min="1" max="1" width="2.875" bestFit="1" customWidth="1"/>
    <col min="2" max="2" width="14.375" bestFit="1" customWidth="1"/>
    <col min="3" max="3" width="6.5" bestFit="1" customWidth="1"/>
    <col min="4" max="4" width="11" bestFit="1" customWidth="1"/>
    <col min="5" max="6" width="5.375" bestFit="1" customWidth="1"/>
    <col min="7" max="7" width="9.375" bestFit="1" customWidth="1"/>
    <col min="8" max="8" width="5.875" bestFit="1" customWidth="1"/>
    <col min="10" max="10" width="13.25" customWidth="1"/>
  </cols>
  <sheetData>
    <row r="1" spans="1:10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0">
      <c r="A2" s="2">
        <v>1</v>
      </c>
      <c r="B2" s="2" t="s">
        <v>8</v>
      </c>
      <c r="C2" s="2" t="s">
        <v>9</v>
      </c>
      <c r="D2" s="2" t="s">
        <v>10</v>
      </c>
      <c r="E2" s="2">
        <v>1200</v>
      </c>
      <c r="F2" s="2">
        <v>300</v>
      </c>
      <c r="G2" s="2" t="s">
        <v>11</v>
      </c>
      <c r="H2" s="2">
        <v>85</v>
      </c>
      <c r="J2" t="str">
        <f>IF(OR(H2&lt;50,G2="no"),"need attention","okey")</f>
        <v>okey</v>
      </c>
    </row>
    <row r="3" spans="1:10">
      <c r="A3" s="2">
        <v>2</v>
      </c>
      <c r="B3" s="2" t="s">
        <v>12</v>
      </c>
      <c r="C3" s="2" t="s">
        <v>13</v>
      </c>
      <c r="D3" s="2" t="s">
        <v>14</v>
      </c>
      <c r="E3" s="2">
        <v>800</v>
      </c>
      <c r="F3" s="2">
        <v>200</v>
      </c>
      <c r="G3" s="2" t="s">
        <v>15</v>
      </c>
      <c r="H3" s="2">
        <v>70</v>
      </c>
      <c r="J3" t="str">
        <f t="shared" ref="J3:J15" si="0">IF(OR(H3&lt;50,G3="no"),"need attention","okey")</f>
        <v>need attention</v>
      </c>
    </row>
    <row r="4" spans="1:10">
      <c r="A4" s="2">
        <v>3</v>
      </c>
      <c r="B4" s="2" t="s">
        <v>16</v>
      </c>
      <c r="C4" s="2" t="s">
        <v>17</v>
      </c>
      <c r="D4" s="2" t="s">
        <v>18</v>
      </c>
      <c r="E4" s="2">
        <v>500</v>
      </c>
      <c r="F4" s="2">
        <v>100</v>
      </c>
      <c r="G4" s="2" t="s">
        <v>15</v>
      </c>
      <c r="H4" s="2">
        <v>45</v>
      </c>
      <c r="J4" t="str">
        <f t="shared" si="0"/>
        <v>need attention</v>
      </c>
    </row>
    <row r="5" spans="1:10">
      <c r="A5" s="2">
        <v>4</v>
      </c>
      <c r="B5" s="2" t="s">
        <v>19</v>
      </c>
      <c r="C5" s="2" t="s">
        <v>9</v>
      </c>
      <c r="D5" s="2" t="s">
        <v>10</v>
      </c>
      <c r="E5" s="2">
        <v>2200</v>
      </c>
      <c r="F5" s="2">
        <v>700</v>
      </c>
      <c r="G5" s="2" t="s">
        <v>11</v>
      </c>
      <c r="H5" s="2">
        <v>95</v>
      </c>
      <c r="J5" t="str">
        <f t="shared" si="0"/>
        <v>okey</v>
      </c>
    </row>
    <row r="6" spans="1:10">
      <c r="A6" s="2">
        <v>5</v>
      </c>
      <c r="B6" s="2" t="s">
        <v>20</v>
      </c>
      <c r="C6" s="2" t="s">
        <v>21</v>
      </c>
      <c r="D6" s="2" t="s">
        <v>22</v>
      </c>
      <c r="E6" s="2">
        <v>300</v>
      </c>
      <c r="F6" s="2">
        <v>50</v>
      </c>
      <c r="G6" s="2" t="s">
        <v>15</v>
      </c>
      <c r="H6" s="2">
        <v>60</v>
      </c>
      <c r="J6" t="str">
        <f t="shared" si="0"/>
        <v>need attention</v>
      </c>
    </row>
    <row r="7" spans="1:10">
      <c r="A7" s="2">
        <v>6</v>
      </c>
      <c r="B7" s="2" t="s">
        <v>23</v>
      </c>
      <c r="C7" s="2" t="s">
        <v>13</v>
      </c>
      <c r="D7" s="2" t="s">
        <v>18</v>
      </c>
      <c r="E7" s="2">
        <v>1500</v>
      </c>
      <c r="F7" s="2">
        <v>450</v>
      </c>
      <c r="G7" s="2" t="s">
        <v>11</v>
      </c>
      <c r="H7" s="2">
        <v>78</v>
      </c>
      <c r="J7" t="str">
        <f t="shared" si="0"/>
        <v>okey</v>
      </c>
    </row>
    <row r="8" spans="1:10">
      <c r="A8" s="2">
        <v>7</v>
      </c>
      <c r="B8" s="2" t="s">
        <v>24</v>
      </c>
      <c r="C8" s="2" t="s">
        <v>17</v>
      </c>
      <c r="D8" s="2" t="s">
        <v>10</v>
      </c>
      <c r="E8" s="2">
        <v>900</v>
      </c>
      <c r="F8" s="2">
        <v>250</v>
      </c>
      <c r="G8" s="2" t="s">
        <v>15</v>
      </c>
      <c r="H8" s="2">
        <v>55</v>
      </c>
      <c r="J8" t="str">
        <f t="shared" si="0"/>
        <v>need attention</v>
      </c>
    </row>
    <row r="9" spans="1:10">
      <c r="A9" s="2">
        <v>8</v>
      </c>
      <c r="B9" s="2" t="s">
        <v>25</v>
      </c>
      <c r="C9" s="2" t="s">
        <v>21</v>
      </c>
      <c r="D9" s="2" t="s">
        <v>22</v>
      </c>
      <c r="E9" s="2">
        <v>2000</v>
      </c>
      <c r="F9" s="2">
        <v>600</v>
      </c>
      <c r="G9" s="2" t="s">
        <v>11</v>
      </c>
      <c r="H9" s="2">
        <v>88</v>
      </c>
      <c r="J9" t="str">
        <f t="shared" si="0"/>
        <v>okey</v>
      </c>
    </row>
    <row r="10" spans="1:10">
      <c r="A10" s="2">
        <v>9</v>
      </c>
      <c r="B10" s="2" t="s">
        <v>26</v>
      </c>
      <c r="C10" s="2" t="s">
        <v>9</v>
      </c>
      <c r="D10" s="2" t="s">
        <v>14</v>
      </c>
      <c r="E10" s="2">
        <v>750</v>
      </c>
      <c r="F10" s="2">
        <v>150</v>
      </c>
      <c r="G10" s="2" t="s">
        <v>15</v>
      </c>
      <c r="H10" s="2">
        <v>40</v>
      </c>
      <c r="J10" t="str">
        <f t="shared" si="0"/>
        <v>need attention</v>
      </c>
    </row>
    <row r="11" spans="1:10">
      <c r="A11" s="2">
        <v>10</v>
      </c>
      <c r="B11" s="2" t="s">
        <v>27</v>
      </c>
      <c r="C11" s="2" t="s">
        <v>13</v>
      </c>
      <c r="D11" s="2" t="s">
        <v>22</v>
      </c>
      <c r="E11" s="2">
        <v>1300</v>
      </c>
      <c r="F11" s="2">
        <v>500</v>
      </c>
      <c r="G11" s="2" t="s">
        <v>11</v>
      </c>
      <c r="H11" s="2">
        <v>92</v>
      </c>
      <c r="J11" t="str">
        <f t="shared" si="0"/>
        <v>okey</v>
      </c>
    </row>
    <row r="12" spans="1:10">
      <c r="A12" s="2">
        <v>11</v>
      </c>
      <c r="B12" s="2" t="s">
        <v>28</v>
      </c>
      <c r="C12" s="2" t="s">
        <v>17</v>
      </c>
      <c r="D12" s="2" t="s">
        <v>18</v>
      </c>
      <c r="E12" s="2">
        <v>600</v>
      </c>
      <c r="F12" s="2">
        <v>120</v>
      </c>
      <c r="G12" s="2" t="s">
        <v>15</v>
      </c>
      <c r="H12" s="2">
        <v>67</v>
      </c>
      <c r="J12" t="str">
        <f t="shared" si="0"/>
        <v>need attention</v>
      </c>
    </row>
    <row r="13" spans="1:10">
      <c r="A13" s="2">
        <v>12</v>
      </c>
      <c r="B13" s="2" t="s">
        <v>29</v>
      </c>
      <c r="C13" s="2" t="s">
        <v>9</v>
      </c>
      <c r="D13" s="2" t="s">
        <v>14</v>
      </c>
      <c r="E13" s="2">
        <v>1800</v>
      </c>
      <c r="F13" s="2">
        <v>550</v>
      </c>
      <c r="G13" s="2" t="s">
        <v>11</v>
      </c>
      <c r="H13" s="2">
        <v>80</v>
      </c>
      <c r="J13" t="str">
        <f t="shared" si="0"/>
        <v>okey</v>
      </c>
    </row>
    <row r="14" spans="1:10">
      <c r="A14" s="2">
        <v>13</v>
      </c>
      <c r="B14" s="2" t="s">
        <v>30</v>
      </c>
      <c r="C14" s="2" t="s">
        <v>21</v>
      </c>
      <c r="D14" s="2" t="s">
        <v>10</v>
      </c>
      <c r="E14" s="2">
        <v>400</v>
      </c>
      <c r="F14" s="2">
        <v>90</v>
      </c>
      <c r="G14" s="2" t="s">
        <v>15</v>
      </c>
      <c r="H14" s="2">
        <v>50</v>
      </c>
      <c r="J14" t="str">
        <f t="shared" si="0"/>
        <v>need attention</v>
      </c>
    </row>
    <row r="15" spans="1:10">
      <c r="A15" s="2">
        <v>14</v>
      </c>
      <c r="B15" s="2" t="s">
        <v>31</v>
      </c>
      <c r="C15" s="2" t="s">
        <v>13</v>
      </c>
      <c r="D15" s="2" t="s">
        <v>18</v>
      </c>
      <c r="E15" s="2">
        <v>1100</v>
      </c>
      <c r="F15" s="2">
        <v>330</v>
      </c>
      <c r="G15" s="2" t="s">
        <v>11</v>
      </c>
      <c r="H15" s="2">
        <v>72</v>
      </c>
      <c r="J15" t="str">
        <f t="shared" si="0"/>
        <v>okey</v>
      </c>
    </row>
    <row r="16" spans="1:10">
      <c r="A16" s="2">
        <v>15</v>
      </c>
      <c r="B16" s="2" t="s">
        <v>32</v>
      </c>
      <c r="C16" s="2" t="s">
        <v>9</v>
      </c>
      <c r="D16" s="2" t="s">
        <v>22</v>
      </c>
      <c r="E16" s="2">
        <v>950</v>
      </c>
      <c r="F16" s="2">
        <v>180</v>
      </c>
      <c r="G16" s="2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20A61-896A-4119-BF17-BFC2668573E8}">
  <dimension ref="A1:I16"/>
  <sheetViews>
    <sheetView workbookViewId="0">
      <selection activeCell="I9" sqref="I9"/>
    </sheetView>
  </sheetViews>
  <sheetFormatPr defaultRowHeight="14.25"/>
  <cols>
    <col min="1" max="1" width="2.875" bestFit="1" customWidth="1"/>
    <col min="2" max="2" width="14.375" bestFit="1" customWidth="1"/>
    <col min="3" max="3" width="6.5" bestFit="1" customWidth="1"/>
    <col min="4" max="4" width="11" bestFit="1" customWidth="1"/>
    <col min="5" max="6" width="5.375" bestFit="1" customWidth="1"/>
    <col min="7" max="7" width="9.375" bestFit="1" customWidth="1"/>
    <col min="8" max="8" width="5.875" bestFit="1" customWidth="1"/>
  </cols>
  <sheetData>
    <row r="1" spans="1:9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35</v>
      </c>
    </row>
    <row r="2" spans="1:9">
      <c r="A2" s="2">
        <v>1</v>
      </c>
      <c r="B2" s="2" t="s">
        <v>8</v>
      </c>
      <c r="C2" s="2" t="s">
        <v>9</v>
      </c>
      <c r="D2" s="2" t="s">
        <v>10</v>
      </c>
      <c r="E2" s="2">
        <v>1200</v>
      </c>
      <c r="F2" s="2">
        <v>300</v>
      </c>
      <c r="G2" s="2" t="s">
        <v>11</v>
      </c>
      <c r="H2" s="2">
        <v>85</v>
      </c>
      <c r="I2" t="str" cm="1">
        <f t="array" ref="I2">_xlfn.IFS(H2&gt;80,"A",H2&gt;=70,"B",H2&gt;=60,"C",H2&lt;50,"FAIL")</f>
        <v>A</v>
      </c>
    </row>
    <row r="3" spans="1:9">
      <c r="A3" s="2">
        <v>2</v>
      </c>
      <c r="B3" s="2" t="s">
        <v>12</v>
      </c>
      <c r="C3" s="2" t="s">
        <v>13</v>
      </c>
      <c r="D3" s="2" t="s">
        <v>14</v>
      </c>
      <c r="E3" s="2">
        <v>800</v>
      </c>
      <c r="F3" s="2">
        <v>200</v>
      </c>
      <c r="G3" s="2" t="s">
        <v>15</v>
      </c>
      <c r="H3" s="2">
        <v>70</v>
      </c>
      <c r="I3" t="str" cm="1">
        <f t="array" ref="I3">_xlfn.IFS(H3&gt;80,"A",H3&gt;=70,"B",H3&gt;=60,"C",H3&lt;50,"FAIL")</f>
        <v>B</v>
      </c>
    </row>
    <row r="4" spans="1:9">
      <c r="A4" s="2">
        <v>3</v>
      </c>
      <c r="B4" s="2" t="s">
        <v>16</v>
      </c>
      <c r="C4" s="2" t="s">
        <v>17</v>
      </c>
      <c r="D4" s="2" t="s">
        <v>18</v>
      </c>
      <c r="E4" s="2">
        <v>500</v>
      </c>
      <c r="F4" s="2">
        <v>100</v>
      </c>
      <c r="G4" s="2" t="s">
        <v>15</v>
      </c>
      <c r="H4" s="2">
        <v>45</v>
      </c>
      <c r="I4" t="str" cm="1">
        <f t="array" ref="I4">_xlfn.IFS(H4&gt;80,"A",H4&gt;=70,"B",H4&gt;=60,"C",H4&lt;50,"FAIL")</f>
        <v>FAIL</v>
      </c>
    </row>
    <row r="5" spans="1:9">
      <c r="A5" s="2">
        <v>4</v>
      </c>
      <c r="B5" s="2" t="s">
        <v>19</v>
      </c>
      <c r="C5" s="2" t="s">
        <v>9</v>
      </c>
      <c r="D5" s="2" t="s">
        <v>10</v>
      </c>
      <c r="E5" s="2">
        <v>2200</v>
      </c>
      <c r="F5" s="2">
        <v>700</v>
      </c>
      <c r="G5" s="2" t="s">
        <v>11</v>
      </c>
      <c r="H5" s="2">
        <v>95</v>
      </c>
      <c r="I5" t="str" cm="1">
        <f t="array" ref="I5">_xlfn.IFS(H5&gt;80,"A",H5&gt;=70,"B",H5&gt;=60,"C",H5&lt;50,"FAIL")</f>
        <v>A</v>
      </c>
    </row>
    <row r="6" spans="1:9">
      <c r="A6" s="2">
        <v>5</v>
      </c>
      <c r="B6" s="2" t="s">
        <v>20</v>
      </c>
      <c r="C6" s="2" t="s">
        <v>21</v>
      </c>
      <c r="D6" s="2" t="s">
        <v>22</v>
      </c>
      <c r="E6" s="2">
        <v>300</v>
      </c>
      <c r="F6" s="2">
        <v>50</v>
      </c>
      <c r="G6" s="2" t="s">
        <v>15</v>
      </c>
      <c r="H6" s="2">
        <v>60</v>
      </c>
      <c r="I6" t="str" cm="1">
        <f t="array" ref="I6">_xlfn.IFS(H6&gt;80,"A",H6&gt;=70,"B",H6&gt;=60,"C",H6&lt;50,"FAIL")</f>
        <v>C</v>
      </c>
    </row>
    <row r="7" spans="1:9">
      <c r="A7" s="2">
        <v>6</v>
      </c>
      <c r="B7" s="2" t="s">
        <v>23</v>
      </c>
      <c r="C7" s="2" t="s">
        <v>13</v>
      </c>
      <c r="D7" s="2" t="s">
        <v>18</v>
      </c>
      <c r="E7" s="2">
        <v>1500</v>
      </c>
      <c r="F7" s="2">
        <v>450</v>
      </c>
      <c r="G7" s="2" t="s">
        <v>11</v>
      </c>
      <c r="H7" s="2">
        <v>78</v>
      </c>
      <c r="I7" t="str" cm="1">
        <f t="array" ref="I7">_xlfn.IFS(H7&gt;80,"A",H7&gt;=70,"B",H7&gt;=60,"C",H7&lt;50,"FAIL")</f>
        <v>B</v>
      </c>
    </row>
    <row r="8" spans="1:9">
      <c r="A8" s="2">
        <v>7</v>
      </c>
      <c r="B8" s="2" t="s">
        <v>24</v>
      </c>
      <c r="C8" s="2" t="s">
        <v>17</v>
      </c>
      <c r="D8" s="2" t="s">
        <v>10</v>
      </c>
      <c r="E8" s="2">
        <v>900</v>
      </c>
      <c r="F8" s="2">
        <v>250</v>
      </c>
      <c r="G8" s="2" t="s">
        <v>15</v>
      </c>
      <c r="H8" s="2">
        <v>55</v>
      </c>
      <c r="I8" t="e" cm="1">
        <f t="array" ref="I8">_xlfn.IFS(H8&gt;80,"A",H8&gt;=70,"B",H8&gt;=60,"C",H8&lt;50,"FAIL")</f>
        <v>#N/A</v>
      </c>
    </row>
    <row r="9" spans="1:9">
      <c r="A9" s="2">
        <v>8</v>
      </c>
      <c r="B9" s="2" t="s">
        <v>25</v>
      </c>
      <c r="C9" s="2" t="s">
        <v>21</v>
      </c>
      <c r="D9" s="2" t="s">
        <v>22</v>
      </c>
      <c r="E9" s="2">
        <v>2000</v>
      </c>
      <c r="F9" s="2">
        <v>600</v>
      </c>
      <c r="G9" s="2" t="s">
        <v>11</v>
      </c>
      <c r="H9" s="2">
        <v>88</v>
      </c>
      <c r="I9" t="str" cm="1">
        <f t="array" ref="I9">_xlfn.IFS(H9&gt;80,"A",H9&gt;=70,"B",H9&gt;=60,"C",H9&lt;50,"FAIL")</f>
        <v>A</v>
      </c>
    </row>
    <row r="10" spans="1:9">
      <c r="A10" s="2">
        <v>9</v>
      </c>
      <c r="B10" s="2" t="s">
        <v>26</v>
      </c>
      <c r="C10" s="2" t="s">
        <v>9</v>
      </c>
      <c r="D10" s="2" t="s">
        <v>14</v>
      </c>
      <c r="E10" s="2">
        <v>750</v>
      </c>
      <c r="F10" s="2">
        <v>150</v>
      </c>
      <c r="G10" s="2" t="s">
        <v>15</v>
      </c>
      <c r="H10" s="2">
        <v>40</v>
      </c>
      <c r="I10" t="str" cm="1">
        <f t="array" ref="I10">_xlfn.IFS(H10&gt;80,"A",H10&gt;=70,"B",H10&gt;=60,"C",H10&lt;50,"FAIL")</f>
        <v>FAIL</v>
      </c>
    </row>
    <row r="11" spans="1:9">
      <c r="A11" s="2">
        <v>10</v>
      </c>
      <c r="B11" s="2" t="s">
        <v>27</v>
      </c>
      <c r="C11" s="2" t="s">
        <v>13</v>
      </c>
      <c r="D11" s="2" t="s">
        <v>22</v>
      </c>
      <c r="E11" s="2">
        <v>1300</v>
      </c>
      <c r="F11" s="2">
        <v>500</v>
      </c>
      <c r="G11" s="2" t="s">
        <v>11</v>
      </c>
      <c r="H11" s="2">
        <v>92</v>
      </c>
      <c r="I11" t="str" cm="1">
        <f t="array" ref="I11">_xlfn.IFS(H11&gt;80,"A",H11&gt;=70,"B",H11&gt;=60,"C",H11&lt;50,"FAIL")</f>
        <v>A</v>
      </c>
    </row>
    <row r="12" spans="1:9">
      <c r="A12" s="2">
        <v>11</v>
      </c>
      <c r="B12" s="2" t="s">
        <v>28</v>
      </c>
      <c r="C12" s="2" t="s">
        <v>17</v>
      </c>
      <c r="D12" s="2" t="s">
        <v>18</v>
      </c>
      <c r="E12" s="2">
        <v>600</v>
      </c>
      <c r="F12" s="2">
        <v>120</v>
      </c>
      <c r="G12" s="2" t="s">
        <v>15</v>
      </c>
      <c r="H12" s="2">
        <v>67</v>
      </c>
      <c r="I12" t="str" cm="1">
        <f t="array" ref="I12">_xlfn.IFS(H12&gt;80,"A",H12&gt;=70,"B",H12&gt;=60,"C",H12&lt;50,"FAIL")</f>
        <v>C</v>
      </c>
    </row>
    <row r="13" spans="1:9">
      <c r="A13" s="2">
        <v>12</v>
      </c>
      <c r="B13" s="2" t="s">
        <v>29</v>
      </c>
      <c r="C13" s="2" t="s">
        <v>9</v>
      </c>
      <c r="D13" s="2" t="s">
        <v>14</v>
      </c>
      <c r="E13" s="2">
        <v>1800</v>
      </c>
      <c r="F13" s="2">
        <v>550</v>
      </c>
      <c r="G13" s="2" t="s">
        <v>11</v>
      </c>
      <c r="H13" s="2">
        <v>80</v>
      </c>
      <c r="I13" t="str" cm="1">
        <f t="array" ref="I13">_xlfn.IFS(H13&gt;80,"A",H13&gt;=70,"B",H13&gt;=60,"C",H13&lt;50,"FAIL")</f>
        <v>B</v>
      </c>
    </row>
    <row r="14" spans="1:9">
      <c r="A14" s="2">
        <v>13</v>
      </c>
      <c r="B14" s="2" t="s">
        <v>30</v>
      </c>
      <c r="C14" s="2" t="s">
        <v>21</v>
      </c>
      <c r="D14" s="2" t="s">
        <v>10</v>
      </c>
      <c r="E14" s="2">
        <v>400</v>
      </c>
      <c r="F14" s="2">
        <v>90</v>
      </c>
      <c r="G14" s="2" t="s">
        <v>15</v>
      </c>
      <c r="H14" s="2">
        <v>50</v>
      </c>
      <c r="I14" t="e" cm="1">
        <f t="array" ref="I14">_xlfn.IFS(H14&gt;80,"A",H14&gt;=70,"B",H14&gt;=60,"C",H14&lt;50,"FAIL")</f>
        <v>#N/A</v>
      </c>
    </row>
    <row r="15" spans="1:9">
      <c r="A15" s="2">
        <v>14</v>
      </c>
      <c r="B15" s="2" t="s">
        <v>31</v>
      </c>
      <c r="C15" s="2" t="s">
        <v>13</v>
      </c>
      <c r="D15" s="2" t="s">
        <v>18</v>
      </c>
      <c r="E15" s="2">
        <v>1100</v>
      </c>
      <c r="F15" s="2">
        <v>330</v>
      </c>
      <c r="G15" s="2" t="s">
        <v>11</v>
      </c>
      <c r="H15" s="2">
        <v>72</v>
      </c>
      <c r="I15" t="str" cm="1">
        <f t="array" ref="I15">_xlfn.IFS(H15&gt;80,"A",H15&gt;=70,"B",H15&gt;=60,"C",H15&lt;50,"FAIL")</f>
        <v>B</v>
      </c>
    </row>
    <row r="16" spans="1:9">
      <c r="A16" s="2">
        <v>15</v>
      </c>
      <c r="B16" s="2" t="s">
        <v>32</v>
      </c>
      <c r="C16" s="2" t="s">
        <v>9</v>
      </c>
      <c r="D16" s="2" t="s">
        <v>22</v>
      </c>
      <c r="E16" s="2">
        <v>950</v>
      </c>
      <c r="F16" s="2">
        <v>180</v>
      </c>
      <c r="G16" s="2" t="s">
        <v>15</v>
      </c>
      <c r="I16" t="str" cm="1">
        <f t="array" ref="I16">_xlfn.IFS(H16&gt;80,"A",H16&gt;=70,"B",H16&gt;=60,"C",H16&lt;50,"FAIL")</f>
        <v>FAIL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8BB68-82EF-4A29-B79F-A722DD9D1E80}">
  <dimension ref="A1:O16"/>
  <sheetViews>
    <sheetView workbookViewId="0">
      <selection activeCell="O6" sqref="O6"/>
    </sheetView>
  </sheetViews>
  <sheetFormatPr defaultRowHeight="14.25"/>
  <cols>
    <col min="1" max="1" width="2.875" bestFit="1" customWidth="1"/>
    <col min="2" max="2" width="14.375" bestFit="1" customWidth="1"/>
    <col min="3" max="3" width="6.5" bestFit="1" customWidth="1"/>
    <col min="4" max="4" width="11" bestFit="1" customWidth="1"/>
    <col min="5" max="6" width="5.375" bestFit="1" customWidth="1"/>
    <col min="7" max="7" width="9.375" bestFit="1" customWidth="1"/>
    <col min="8" max="8" width="5.875" bestFit="1" customWidth="1"/>
    <col min="10" max="10" width="11.75" customWidth="1"/>
    <col min="11" max="11" width="21.25" customWidth="1"/>
    <col min="12" max="12" width="16.875" customWidth="1"/>
    <col min="13" max="13" width="18" customWidth="1"/>
  </cols>
  <sheetData>
    <row r="1" spans="1:15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5">
      <c r="A2" s="2">
        <v>1</v>
      </c>
      <c r="B2" s="2" t="s">
        <v>8</v>
      </c>
      <c r="C2" s="2" t="s">
        <v>9</v>
      </c>
      <c r="D2" s="2" t="s">
        <v>10</v>
      </c>
      <c r="E2" s="2">
        <v>1200</v>
      </c>
      <c r="F2" s="2">
        <v>300</v>
      </c>
      <c r="G2" s="2" t="s">
        <v>11</v>
      </c>
      <c r="H2" s="2">
        <v>85</v>
      </c>
    </row>
    <row r="3" spans="1:15">
      <c r="A3" s="2">
        <v>2</v>
      </c>
      <c r="B3" s="2" t="s">
        <v>12</v>
      </c>
      <c r="C3" s="2" t="s">
        <v>13</v>
      </c>
      <c r="D3" s="2" t="s">
        <v>14</v>
      </c>
      <c r="E3" s="2">
        <v>800</v>
      </c>
      <c r="F3" s="2">
        <v>200</v>
      </c>
      <c r="G3" s="2" t="s">
        <v>15</v>
      </c>
      <c r="H3" s="2">
        <v>70</v>
      </c>
    </row>
    <row r="4" spans="1:15">
      <c r="A4" s="2">
        <v>3</v>
      </c>
      <c r="B4" s="2" t="s">
        <v>16</v>
      </c>
      <c r="C4" s="2" t="s">
        <v>17</v>
      </c>
      <c r="D4" s="2" t="s">
        <v>18</v>
      </c>
      <c r="E4" s="2">
        <v>500</v>
      </c>
      <c r="F4" s="2">
        <v>100</v>
      </c>
      <c r="G4" s="2" t="s">
        <v>15</v>
      </c>
      <c r="H4" s="2">
        <v>45</v>
      </c>
    </row>
    <row r="5" spans="1:15" ht="15">
      <c r="A5" s="2">
        <v>4</v>
      </c>
      <c r="B5" s="2" t="s">
        <v>19</v>
      </c>
      <c r="C5" s="2" t="s">
        <v>9</v>
      </c>
      <c r="D5" s="2" t="s">
        <v>10</v>
      </c>
      <c r="E5" s="2">
        <v>2200</v>
      </c>
      <c r="F5" s="2">
        <v>700</v>
      </c>
      <c r="G5" s="2" t="s">
        <v>11</v>
      </c>
      <c r="H5" s="2">
        <v>95</v>
      </c>
      <c r="K5" s="3" t="s">
        <v>36</v>
      </c>
      <c r="L5" s="3" t="s">
        <v>37</v>
      </c>
      <c r="M5" s="3" t="s">
        <v>38</v>
      </c>
      <c r="O5" s="3"/>
    </row>
    <row r="6" spans="1:15">
      <c r="A6" s="2">
        <v>5</v>
      </c>
      <c r="B6" s="2" t="s">
        <v>20</v>
      </c>
      <c r="C6" s="2" t="s">
        <v>21</v>
      </c>
      <c r="D6" s="2" t="s">
        <v>22</v>
      </c>
      <c r="E6" s="2">
        <v>300</v>
      </c>
      <c r="F6" s="2">
        <v>50</v>
      </c>
      <c r="G6" s="2" t="s">
        <v>15</v>
      </c>
      <c r="H6" s="2">
        <v>60</v>
      </c>
      <c r="K6">
        <f>SUMIF(D2:D16,"Laptop",E2:E16)</f>
        <v>4700</v>
      </c>
      <c r="L6">
        <f>SUMIF(D2:D16,"books",E2:E16)</f>
        <v>4550</v>
      </c>
      <c r="M6">
        <f>SUMIF(D2:D16,"Headphnes",F2:F16)</f>
        <v>0</v>
      </c>
    </row>
    <row r="7" spans="1:15">
      <c r="A7" s="2">
        <v>6</v>
      </c>
      <c r="B7" s="2" t="s">
        <v>23</v>
      </c>
      <c r="C7" s="2" t="s">
        <v>13</v>
      </c>
      <c r="D7" s="2" t="s">
        <v>18</v>
      </c>
      <c r="E7" s="2">
        <v>1500</v>
      </c>
      <c r="F7" s="2">
        <v>450</v>
      </c>
      <c r="G7" s="2" t="s">
        <v>11</v>
      </c>
      <c r="H7" s="2">
        <v>78</v>
      </c>
      <c r="K7">
        <f t="shared" ref="K7:K16" si="0">SUMIF(D3:D17,"Laptop",E3:E17)</f>
        <v>3500</v>
      </c>
      <c r="L7">
        <f t="shared" ref="L7:L16" si="1">SUMIF(D3:D17,"books",E3:E17)</f>
        <v>4550</v>
      </c>
    </row>
    <row r="8" spans="1:15">
      <c r="A8" s="2">
        <v>7</v>
      </c>
      <c r="B8" s="2" t="s">
        <v>24</v>
      </c>
      <c r="C8" s="2" t="s">
        <v>17</v>
      </c>
      <c r="D8" s="2" t="s">
        <v>10</v>
      </c>
      <c r="E8" s="2">
        <v>900</v>
      </c>
      <c r="F8" s="2">
        <v>250</v>
      </c>
      <c r="G8" s="2" t="s">
        <v>15</v>
      </c>
      <c r="H8" s="2">
        <v>55</v>
      </c>
      <c r="K8">
        <f t="shared" si="0"/>
        <v>3500</v>
      </c>
      <c r="L8">
        <f t="shared" si="1"/>
        <v>4550</v>
      </c>
    </row>
    <row r="9" spans="1:15">
      <c r="A9" s="2">
        <v>8</v>
      </c>
      <c r="B9" s="2" t="s">
        <v>25</v>
      </c>
      <c r="C9" s="2" t="s">
        <v>21</v>
      </c>
      <c r="D9" s="2" t="s">
        <v>22</v>
      </c>
      <c r="E9" s="2">
        <v>2000</v>
      </c>
      <c r="F9" s="2">
        <v>600</v>
      </c>
      <c r="G9" s="2" t="s">
        <v>11</v>
      </c>
      <c r="H9" s="2">
        <v>88</v>
      </c>
      <c r="J9" t="s">
        <v>18</v>
      </c>
      <c r="K9">
        <f t="shared" si="0"/>
        <v>3500</v>
      </c>
      <c r="L9">
        <f t="shared" si="1"/>
        <v>4550</v>
      </c>
    </row>
    <row r="10" spans="1:15">
      <c r="A10" s="2">
        <v>9</v>
      </c>
      <c r="B10" s="2" t="s">
        <v>26</v>
      </c>
      <c r="C10" s="2" t="s">
        <v>9</v>
      </c>
      <c r="D10" s="2" t="s">
        <v>14</v>
      </c>
      <c r="E10" s="2">
        <v>750</v>
      </c>
      <c r="F10" s="2">
        <v>150</v>
      </c>
      <c r="G10" s="2" t="s">
        <v>15</v>
      </c>
      <c r="H10" s="2">
        <v>40</v>
      </c>
      <c r="J10">
        <f ca="1">SUMIF(D1:D16,"Headphones",E2:E16)</f>
        <v>5850</v>
      </c>
      <c r="K10">
        <f t="shared" si="0"/>
        <v>1300</v>
      </c>
      <c r="L10">
        <f t="shared" si="1"/>
        <v>4550</v>
      </c>
    </row>
    <row r="11" spans="1:15">
      <c r="A11" s="2">
        <v>10</v>
      </c>
      <c r="B11" s="2" t="s">
        <v>27</v>
      </c>
      <c r="C11" s="2" t="s">
        <v>13</v>
      </c>
      <c r="D11" s="2" t="s">
        <v>22</v>
      </c>
      <c r="E11" s="2">
        <v>1300</v>
      </c>
      <c r="F11" s="2">
        <v>500</v>
      </c>
      <c r="G11" s="2" t="s">
        <v>11</v>
      </c>
      <c r="H11" s="2">
        <v>92</v>
      </c>
      <c r="K11">
        <f t="shared" si="0"/>
        <v>1300</v>
      </c>
      <c r="L11">
        <f t="shared" si="1"/>
        <v>4250</v>
      </c>
    </row>
    <row r="12" spans="1:15">
      <c r="A12" s="2">
        <v>11</v>
      </c>
      <c r="B12" s="2" t="s">
        <v>28</v>
      </c>
      <c r="C12" s="2" t="s">
        <v>17</v>
      </c>
      <c r="D12" s="2" t="s">
        <v>18</v>
      </c>
      <c r="E12" s="2">
        <v>600</v>
      </c>
      <c r="F12" s="2">
        <v>120</v>
      </c>
      <c r="G12" s="2" t="s">
        <v>15</v>
      </c>
      <c r="H12" s="2">
        <v>67</v>
      </c>
      <c r="K12">
        <f t="shared" si="0"/>
        <v>1300</v>
      </c>
      <c r="L12">
        <f t="shared" si="1"/>
        <v>4250</v>
      </c>
    </row>
    <row r="13" spans="1:15">
      <c r="A13" s="2">
        <v>12</v>
      </c>
      <c r="B13" s="2" t="s">
        <v>29</v>
      </c>
      <c r="C13" s="2" t="s">
        <v>9</v>
      </c>
      <c r="D13" s="2" t="s">
        <v>14</v>
      </c>
      <c r="E13" s="2">
        <v>1800</v>
      </c>
      <c r="F13" s="2">
        <v>550</v>
      </c>
      <c r="G13" s="2" t="s">
        <v>11</v>
      </c>
      <c r="H13" s="2">
        <v>80</v>
      </c>
      <c r="K13">
        <f t="shared" si="0"/>
        <v>400</v>
      </c>
      <c r="L13">
        <f t="shared" si="1"/>
        <v>4250</v>
      </c>
    </row>
    <row r="14" spans="1:15">
      <c r="A14" s="2">
        <v>13</v>
      </c>
      <c r="B14" s="2" t="s">
        <v>30</v>
      </c>
      <c r="C14" s="2" t="s">
        <v>21</v>
      </c>
      <c r="D14" s="2" t="s">
        <v>10</v>
      </c>
      <c r="E14" s="2">
        <v>400</v>
      </c>
      <c r="F14" s="2">
        <v>90</v>
      </c>
      <c r="G14" s="2" t="s">
        <v>15</v>
      </c>
      <c r="H14" s="2">
        <v>50</v>
      </c>
      <c r="K14">
        <f t="shared" si="0"/>
        <v>400</v>
      </c>
      <c r="L14">
        <f t="shared" si="1"/>
        <v>2250</v>
      </c>
    </row>
    <row r="15" spans="1:15">
      <c r="A15" s="2">
        <v>14</v>
      </c>
      <c r="B15" s="2" t="s">
        <v>31</v>
      </c>
      <c r="C15" s="2" t="s">
        <v>13</v>
      </c>
      <c r="D15" s="2" t="s">
        <v>18</v>
      </c>
      <c r="E15" s="2">
        <v>1100</v>
      </c>
      <c r="F15" s="2">
        <v>330</v>
      </c>
      <c r="G15" s="2" t="s">
        <v>11</v>
      </c>
      <c r="H15" s="2">
        <v>72</v>
      </c>
      <c r="K15">
        <f t="shared" si="0"/>
        <v>400</v>
      </c>
      <c r="L15">
        <f t="shared" si="1"/>
        <v>2250</v>
      </c>
    </row>
    <row r="16" spans="1:15">
      <c r="A16" s="2">
        <v>15</v>
      </c>
      <c r="B16" s="2" t="s">
        <v>32</v>
      </c>
      <c r="C16" s="2" t="s">
        <v>9</v>
      </c>
      <c r="D16" s="2" t="s">
        <v>22</v>
      </c>
      <c r="E16" s="2">
        <v>950</v>
      </c>
      <c r="F16" s="2">
        <v>180</v>
      </c>
      <c r="G16" s="2" t="s">
        <v>15</v>
      </c>
      <c r="K16">
        <f t="shared" si="0"/>
        <v>400</v>
      </c>
      <c r="L16">
        <f t="shared" si="1"/>
        <v>950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C9A8A-CE23-41B1-B110-E7E428C3CBA0}">
  <dimension ref="A1:L16"/>
  <sheetViews>
    <sheetView topLeftCell="B1" workbookViewId="0">
      <selection activeCell="K2" sqref="K2"/>
    </sheetView>
  </sheetViews>
  <sheetFormatPr defaultRowHeight="14.25"/>
  <cols>
    <col min="1" max="1" width="2.875" bestFit="1" customWidth="1"/>
    <col min="2" max="2" width="14.375" bestFit="1" customWidth="1"/>
    <col min="3" max="3" width="6.5" bestFit="1" customWidth="1"/>
    <col min="4" max="4" width="11" bestFit="1" customWidth="1"/>
    <col min="5" max="6" width="5.375" bestFit="1" customWidth="1"/>
    <col min="7" max="7" width="9.375" bestFit="1" customWidth="1"/>
    <col min="8" max="8" width="5.875" bestFit="1" customWidth="1"/>
    <col min="11" max="11" width="22.75" customWidth="1"/>
  </cols>
  <sheetData>
    <row r="1" spans="1:12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K1" s="1" t="s">
        <v>50</v>
      </c>
    </row>
    <row r="2" spans="1:12">
      <c r="A2" s="2">
        <v>1</v>
      </c>
      <c r="B2" s="2" t="s">
        <v>8</v>
      </c>
      <c r="C2" s="2" t="s">
        <v>9</v>
      </c>
      <c r="D2" s="2" t="s">
        <v>10</v>
      </c>
      <c r="E2" s="2">
        <v>1200</v>
      </c>
      <c r="F2" s="2">
        <v>300</v>
      </c>
      <c r="G2" s="2" t="s">
        <v>11</v>
      </c>
      <c r="H2" s="2">
        <v>85</v>
      </c>
      <c r="K2">
        <f>SUMIFS(E2:E16,C2:C16,"East")</f>
        <v>6900</v>
      </c>
    </row>
    <row r="3" spans="1:12">
      <c r="A3" s="2">
        <v>2</v>
      </c>
      <c r="B3" s="2" t="s">
        <v>12</v>
      </c>
      <c r="C3" s="2" t="s">
        <v>13</v>
      </c>
      <c r="D3" s="2" t="s">
        <v>14</v>
      </c>
      <c r="E3" s="2">
        <v>800</v>
      </c>
      <c r="F3" s="2">
        <v>200</v>
      </c>
      <c r="G3" s="2" t="s">
        <v>15</v>
      </c>
      <c r="H3" s="2">
        <v>70</v>
      </c>
      <c r="K3">
        <f>SUMIFS(E3:E17,C3:C17,"East")</f>
        <v>5700</v>
      </c>
      <c r="L3" t="s">
        <v>39</v>
      </c>
    </row>
    <row r="4" spans="1:12">
      <c r="A4" s="2">
        <v>3</v>
      </c>
      <c r="B4" s="2" t="s">
        <v>16</v>
      </c>
      <c r="C4" s="2" t="s">
        <v>17</v>
      </c>
      <c r="D4" s="2" t="s">
        <v>18</v>
      </c>
      <c r="E4" s="2">
        <v>500</v>
      </c>
      <c r="F4" s="2">
        <v>100</v>
      </c>
      <c r="G4" s="2" t="s">
        <v>15</v>
      </c>
      <c r="H4" s="2">
        <v>45</v>
      </c>
      <c r="K4">
        <f t="shared" ref="K4:K15" si="0">SUMIFS(E4:E18,C4:C18,"East")</f>
        <v>5700</v>
      </c>
    </row>
    <row r="5" spans="1:12">
      <c r="A5" s="2">
        <v>4</v>
      </c>
      <c r="B5" s="2" t="s">
        <v>19</v>
      </c>
      <c r="C5" s="2" t="s">
        <v>9</v>
      </c>
      <c r="D5" s="2" t="s">
        <v>10</v>
      </c>
      <c r="E5" s="2">
        <v>2200</v>
      </c>
      <c r="F5" s="2">
        <v>700</v>
      </c>
      <c r="G5" s="2" t="s">
        <v>11</v>
      </c>
      <c r="H5" s="2">
        <v>95</v>
      </c>
      <c r="K5">
        <f t="shared" si="0"/>
        <v>5700</v>
      </c>
    </row>
    <row r="6" spans="1:12">
      <c r="A6" s="2">
        <v>5</v>
      </c>
      <c r="B6" s="2" t="s">
        <v>20</v>
      </c>
      <c r="C6" s="2" t="s">
        <v>21</v>
      </c>
      <c r="D6" s="2" t="s">
        <v>22</v>
      </c>
      <c r="E6" s="2">
        <v>300</v>
      </c>
      <c r="F6" s="2">
        <v>50</v>
      </c>
      <c r="G6" s="2" t="s">
        <v>15</v>
      </c>
      <c r="H6" s="2">
        <v>60</v>
      </c>
      <c r="K6">
        <f t="shared" si="0"/>
        <v>3500</v>
      </c>
    </row>
    <row r="7" spans="1:12">
      <c r="A7" s="2">
        <v>6</v>
      </c>
      <c r="B7" s="2" t="s">
        <v>23</v>
      </c>
      <c r="C7" s="2" t="s">
        <v>13</v>
      </c>
      <c r="D7" s="2" t="s">
        <v>18</v>
      </c>
      <c r="E7" s="2">
        <v>1500</v>
      </c>
      <c r="F7" s="2">
        <v>450</v>
      </c>
      <c r="G7" s="2" t="s">
        <v>11</v>
      </c>
      <c r="H7" s="2">
        <v>78</v>
      </c>
      <c r="K7">
        <f t="shared" si="0"/>
        <v>3500</v>
      </c>
    </row>
    <row r="8" spans="1:12">
      <c r="A8" s="2">
        <v>7</v>
      </c>
      <c r="B8" s="2" t="s">
        <v>24</v>
      </c>
      <c r="C8" s="2" t="s">
        <v>17</v>
      </c>
      <c r="D8" s="2" t="s">
        <v>10</v>
      </c>
      <c r="E8" s="2">
        <v>900</v>
      </c>
      <c r="F8" s="2">
        <v>250</v>
      </c>
      <c r="G8" s="2" t="s">
        <v>15</v>
      </c>
      <c r="H8" s="2">
        <v>55</v>
      </c>
      <c r="K8">
        <f t="shared" si="0"/>
        <v>3500</v>
      </c>
    </row>
    <row r="9" spans="1:12">
      <c r="A9" s="2">
        <v>8</v>
      </c>
      <c r="B9" s="2" t="s">
        <v>25</v>
      </c>
      <c r="C9" s="2" t="s">
        <v>21</v>
      </c>
      <c r="D9" s="2" t="s">
        <v>22</v>
      </c>
      <c r="E9" s="2">
        <v>2000</v>
      </c>
      <c r="F9" s="2">
        <v>600</v>
      </c>
      <c r="G9" s="2" t="s">
        <v>11</v>
      </c>
      <c r="H9" s="2">
        <v>88</v>
      </c>
      <c r="K9">
        <f t="shared" si="0"/>
        <v>3500</v>
      </c>
    </row>
    <row r="10" spans="1:12">
      <c r="A10" s="2">
        <v>9</v>
      </c>
      <c r="B10" s="2" t="s">
        <v>26</v>
      </c>
      <c r="C10" s="2" t="s">
        <v>9</v>
      </c>
      <c r="D10" s="2" t="s">
        <v>14</v>
      </c>
      <c r="E10" s="2">
        <v>750</v>
      </c>
      <c r="F10" s="2">
        <v>150</v>
      </c>
      <c r="G10" s="2" t="s">
        <v>15</v>
      </c>
      <c r="H10" s="2">
        <v>40</v>
      </c>
      <c r="K10">
        <f t="shared" si="0"/>
        <v>3500</v>
      </c>
    </row>
    <row r="11" spans="1:12">
      <c r="A11" s="2">
        <v>10</v>
      </c>
      <c r="B11" s="2" t="s">
        <v>27</v>
      </c>
      <c r="C11" s="2" t="s">
        <v>13</v>
      </c>
      <c r="D11" s="2" t="s">
        <v>22</v>
      </c>
      <c r="E11" s="2">
        <v>1300</v>
      </c>
      <c r="F11" s="2">
        <v>500</v>
      </c>
      <c r="G11" s="2" t="s">
        <v>11</v>
      </c>
      <c r="H11" s="2">
        <v>92</v>
      </c>
      <c r="K11">
        <f t="shared" si="0"/>
        <v>2750</v>
      </c>
    </row>
    <row r="12" spans="1:12">
      <c r="A12" s="2">
        <v>11</v>
      </c>
      <c r="B12" s="2" t="s">
        <v>28</v>
      </c>
      <c r="C12" s="2" t="s">
        <v>17</v>
      </c>
      <c r="D12" s="2" t="s">
        <v>18</v>
      </c>
      <c r="E12" s="2">
        <v>600</v>
      </c>
      <c r="F12" s="2">
        <v>120</v>
      </c>
      <c r="G12" s="2" t="s">
        <v>15</v>
      </c>
      <c r="H12" s="2">
        <v>67</v>
      </c>
      <c r="K12">
        <f t="shared" si="0"/>
        <v>2750</v>
      </c>
    </row>
    <row r="13" spans="1:12">
      <c r="A13" s="2">
        <v>12</v>
      </c>
      <c r="B13" s="2" t="s">
        <v>29</v>
      </c>
      <c r="C13" s="2" t="s">
        <v>9</v>
      </c>
      <c r="D13" s="2" t="s">
        <v>14</v>
      </c>
      <c r="E13" s="2">
        <v>1800</v>
      </c>
      <c r="F13" s="2">
        <v>550</v>
      </c>
      <c r="G13" s="2" t="s">
        <v>11</v>
      </c>
      <c r="H13" s="2">
        <v>80</v>
      </c>
      <c r="K13">
        <f t="shared" si="0"/>
        <v>2750</v>
      </c>
    </row>
    <row r="14" spans="1:12">
      <c r="A14" s="2">
        <v>13</v>
      </c>
      <c r="B14" s="2" t="s">
        <v>30</v>
      </c>
      <c r="C14" s="2" t="s">
        <v>21</v>
      </c>
      <c r="D14" s="2" t="s">
        <v>10</v>
      </c>
      <c r="E14" s="2">
        <v>400</v>
      </c>
      <c r="F14" s="2">
        <v>90</v>
      </c>
      <c r="G14" s="2" t="s">
        <v>15</v>
      </c>
      <c r="H14" s="2">
        <v>50</v>
      </c>
      <c r="K14">
        <f t="shared" si="0"/>
        <v>950</v>
      </c>
    </row>
    <row r="15" spans="1:12">
      <c r="A15" s="2">
        <v>14</v>
      </c>
      <c r="B15" s="2" t="s">
        <v>31</v>
      </c>
      <c r="C15" s="2" t="s">
        <v>13</v>
      </c>
      <c r="D15" s="2" t="s">
        <v>18</v>
      </c>
      <c r="E15" s="2">
        <v>1100</v>
      </c>
      <c r="F15" s="2">
        <v>330</v>
      </c>
      <c r="G15" s="2" t="s">
        <v>11</v>
      </c>
      <c r="H15" s="2">
        <v>72</v>
      </c>
      <c r="K15">
        <f t="shared" si="0"/>
        <v>950</v>
      </c>
    </row>
    <row r="16" spans="1:12">
      <c r="A16" s="2">
        <v>15</v>
      </c>
      <c r="B16" s="2" t="s">
        <v>32</v>
      </c>
      <c r="C16" s="2" t="s">
        <v>9</v>
      </c>
      <c r="D16" s="2" t="s">
        <v>22</v>
      </c>
      <c r="E16" s="2">
        <v>950</v>
      </c>
      <c r="F16" s="2">
        <v>180</v>
      </c>
      <c r="G16" s="2" t="s">
        <v>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54B03-B2F4-466C-AF12-C21345E4FF15}">
  <dimension ref="A1:M16"/>
  <sheetViews>
    <sheetView workbookViewId="0">
      <selection activeCell="K2" sqref="K2"/>
    </sheetView>
  </sheetViews>
  <sheetFormatPr defaultRowHeight="14.25"/>
  <cols>
    <col min="1" max="1" width="2.875" bestFit="1" customWidth="1"/>
    <col min="2" max="2" width="14.375" bestFit="1" customWidth="1"/>
    <col min="3" max="3" width="6.5" bestFit="1" customWidth="1"/>
    <col min="4" max="4" width="11" bestFit="1" customWidth="1"/>
    <col min="5" max="6" width="5.375" bestFit="1" customWidth="1"/>
    <col min="7" max="7" width="9.375" bestFit="1" customWidth="1"/>
    <col min="8" max="8" width="5.875" bestFit="1" customWidth="1"/>
    <col min="11" max="11" width="20.375" customWidth="1"/>
    <col min="13" max="13" width="35.375" customWidth="1"/>
  </cols>
  <sheetData>
    <row r="1" spans="1:13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K1" s="4" t="s">
        <v>41</v>
      </c>
      <c r="M1" s="4" t="s">
        <v>42</v>
      </c>
    </row>
    <row r="2" spans="1:13">
      <c r="A2" s="2">
        <v>1</v>
      </c>
      <c r="B2" s="2" t="s">
        <v>8</v>
      </c>
      <c r="C2" s="2" t="s">
        <v>9</v>
      </c>
      <c r="D2" s="2" t="s">
        <v>10</v>
      </c>
      <c r="E2" s="2">
        <v>1200</v>
      </c>
      <c r="F2" s="2">
        <v>300</v>
      </c>
      <c r="G2" s="2" t="s">
        <v>11</v>
      </c>
      <c r="H2" s="2">
        <v>85</v>
      </c>
      <c r="K2">
        <f>COUNTIF(E2:E16,"&gt;100")</f>
        <v>15</v>
      </c>
      <c r="M2">
        <f>COUNTIF(H2:H16,"&gt;=50")</f>
        <v>12</v>
      </c>
    </row>
    <row r="3" spans="1:13">
      <c r="A3" s="2">
        <v>2</v>
      </c>
      <c r="B3" s="2" t="s">
        <v>12</v>
      </c>
      <c r="C3" s="2" t="s">
        <v>13</v>
      </c>
      <c r="D3" s="2" t="s">
        <v>14</v>
      </c>
      <c r="E3" s="2">
        <v>800</v>
      </c>
      <c r="F3" s="2">
        <v>200</v>
      </c>
      <c r="G3" s="2" t="s">
        <v>15</v>
      </c>
      <c r="H3" s="2">
        <v>70</v>
      </c>
      <c r="K3">
        <f t="shared" ref="K3:K16" si="0">COUNTIF(E3:E17,"&gt;100")</f>
        <v>14</v>
      </c>
    </row>
    <row r="4" spans="1:13">
      <c r="A4" s="2">
        <v>3</v>
      </c>
      <c r="B4" s="2" t="s">
        <v>16</v>
      </c>
      <c r="C4" s="2" t="s">
        <v>17</v>
      </c>
      <c r="D4" s="2" t="s">
        <v>18</v>
      </c>
      <c r="E4" s="2">
        <v>500</v>
      </c>
      <c r="F4" s="2">
        <v>100</v>
      </c>
      <c r="G4" s="2" t="s">
        <v>15</v>
      </c>
      <c r="H4" s="2">
        <v>45</v>
      </c>
      <c r="K4">
        <f t="shared" si="0"/>
        <v>13</v>
      </c>
    </row>
    <row r="5" spans="1:13">
      <c r="A5" s="2">
        <v>4</v>
      </c>
      <c r="B5" s="2" t="s">
        <v>19</v>
      </c>
      <c r="C5" s="2" t="s">
        <v>9</v>
      </c>
      <c r="D5" s="2" t="s">
        <v>10</v>
      </c>
      <c r="E5" s="2">
        <v>2200</v>
      </c>
      <c r="F5" s="2">
        <v>700</v>
      </c>
      <c r="G5" s="2" t="s">
        <v>11</v>
      </c>
      <c r="H5" s="2">
        <v>95</v>
      </c>
      <c r="K5">
        <f t="shared" si="0"/>
        <v>12</v>
      </c>
    </row>
    <row r="6" spans="1:13" ht="15">
      <c r="A6" s="2">
        <v>5</v>
      </c>
      <c r="B6" s="2" t="s">
        <v>20</v>
      </c>
      <c r="C6" s="2" t="s">
        <v>21</v>
      </c>
      <c r="D6" s="2" t="s">
        <v>22</v>
      </c>
      <c r="E6" s="2">
        <v>300</v>
      </c>
      <c r="F6" s="2">
        <v>50</v>
      </c>
      <c r="G6" s="2" t="s">
        <v>15</v>
      </c>
      <c r="H6" s="2">
        <v>60</v>
      </c>
      <c r="K6">
        <f t="shared" si="0"/>
        <v>11</v>
      </c>
      <c r="M6" s="4" t="s">
        <v>43</v>
      </c>
    </row>
    <row r="7" spans="1:13">
      <c r="A7" s="2">
        <v>6</v>
      </c>
      <c r="B7" s="2" t="s">
        <v>23</v>
      </c>
      <c r="C7" s="2" t="s">
        <v>13</v>
      </c>
      <c r="D7" s="2" t="s">
        <v>18</v>
      </c>
      <c r="E7" s="2">
        <v>1500</v>
      </c>
      <c r="F7" s="2">
        <v>450</v>
      </c>
      <c r="G7" s="2" t="s">
        <v>11</v>
      </c>
      <c r="H7" s="2">
        <v>78</v>
      </c>
      <c r="K7">
        <f t="shared" si="0"/>
        <v>10</v>
      </c>
      <c r="M7">
        <f>COUNTIF(C2:C16, "East")</f>
        <v>5</v>
      </c>
    </row>
    <row r="8" spans="1:13" ht="15">
      <c r="A8" s="2">
        <v>7</v>
      </c>
      <c r="B8" s="2" t="s">
        <v>24</v>
      </c>
      <c r="C8" s="2" t="s">
        <v>17</v>
      </c>
      <c r="D8" s="2" t="s">
        <v>10</v>
      </c>
      <c r="E8" s="2">
        <v>900</v>
      </c>
      <c r="F8" s="2">
        <v>250</v>
      </c>
      <c r="G8" s="2" t="s">
        <v>15</v>
      </c>
      <c r="H8" s="2">
        <v>55</v>
      </c>
      <c r="K8">
        <f t="shared" si="0"/>
        <v>9</v>
      </c>
      <c r="M8" s="4" t="s">
        <v>44</v>
      </c>
    </row>
    <row r="9" spans="1:13">
      <c r="A9" s="2">
        <v>8</v>
      </c>
      <c r="B9" s="2" t="s">
        <v>25</v>
      </c>
      <c r="C9" s="2" t="s">
        <v>21</v>
      </c>
      <c r="D9" s="2" t="s">
        <v>22</v>
      </c>
      <c r="E9" s="2">
        <v>2000</v>
      </c>
      <c r="F9" s="2">
        <v>600</v>
      </c>
      <c r="G9" s="2" t="s">
        <v>11</v>
      </c>
      <c r="H9" s="2">
        <v>88</v>
      </c>
      <c r="K9">
        <f t="shared" si="0"/>
        <v>8</v>
      </c>
      <c r="M9">
        <f>COUNTIF(C2:C16,"East")</f>
        <v>5</v>
      </c>
    </row>
    <row r="10" spans="1:13">
      <c r="A10" s="2">
        <v>9</v>
      </c>
      <c r="B10" s="2" t="s">
        <v>26</v>
      </c>
      <c r="C10" s="2" t="s">
        <v>9</v>
      </c>
      <c r="D10" s="2" t="s">
        <v>14</v>
      </c>
      <c r="E10" s="2">
        <v>750</v>
      </c>
      <c r="F10" s="2">
        <v>150</v>
      </c>
      <c r="G10" s="2" t="s">
        <v>15</v>
      </c>
      <c r="H10" s="2">
        <v>40</v>
      </c>
      <c r="K10">
        <f t="shared" si="0"/>
        <v>7</v>
      </c>
    </row>
    <row r="11" spans="1:13">
      <c r="A11" s="2">
        <v>10</v>
      </c>
      <c r="B11" s="2" t="s">
        <v>27</v>
      </c>
      <c r="C11" s="2" t="s">
        <v>13</v>
      </c>
      <c r="D11" s="2" t="s">
        <v>22</v>
      </c>
      <c r="E11" s="2">
        <v>1300</v>
      </c>
      <c r="F11" s="2">
        <v>500</v>
      </c>
      <c r="G11" s="2" t="s">
        <v>11</v>
      </c>
      <c r="H11" s="2">
        <v>92</v>
      </c>
      <c r="K11">
        <f t="shared" si="0"/>
        <v>6</v>
      </c>
    </row>
    <row r="12" spans="1:13">
      <c r="A12" s="2">
        <v>11</v>
      </c>
      <c r="B12" s="2" t="s">
        <v>28</v>
      </c>
      <c r="C12" s="2" t="s">
        <v>17</v>
      </c>
      <c r="D12" s="2" t="s">
        <v>18</v>
      </c>
      <c r="E12" s="2">
        <v>600</v>
      </c>
      <c r="F12" s="2">
        <v>120</v>
      </c>
      <c r="G12" s="2" t="s">
        <v>15</v>
      </c>
      <c r="H12" s="2">
        <v>67</v>
      </c>
      <c r="K12">
        <f t="shared" si="0"/>
        <v>5</v>
      </c>
    </row>
    <row r="13" spans="1:13">
      <c r="A13" s="2">
        <v>12</v>
      </c>
      <c r="B13" s="2" t="s">
        <v>29</v>
      </c>
      <c r="C13" s="2" t="s">
        <v>9</v>
      </c>
      <c r="D13" s="2" t="s">
        <v>14</v>
      </c>
      <c r="E13" s="2">
        <v>1800</v>
      </c>
      <c r="F13" s="2">
        <v>550</v>
      </c>
      <c r="G13" s="2" t="s">
        <v>11</v>
      </c>
      <c r="H13" s="2">
        <v>80</v>
      </c>
      <c r="K13">
        <f t="shared" si="0"/>
        <v>4</v>
      </c>
    </row>
    <row r="14" spans="1:13">
      <c r="A14" s="2">
        <v>13</v>
      </c>
      <c r="B14" s="2" t="s">
        <v>30</v>
      </c>
      <c r="C14" s="2" t="s">
        <v>21</v>
      </c>
      <c r="D14" s="2" t="s">
        <v>10</v>
      </c>
      <c r="E14" s="2">
        <v>400</v>
      </c>
      <c r="F14" s="2">
        <v>90</v>
      </c>
      <c r="G14" s="2" t="s">
        <v>15</v>
      </c>
      <c r="H14" s="2">
        <v>50</v>
      </c>
      <c r="K14">
        <f t="shared" si="0"/>
        <v>3</v>
      </c>
    </row>
    <row r="15" spans="1:13">
      <c r="A15" s="2">
        <v>14</v>
      </c>
      <c r="B15" s="2" t="s">
        <v>31</v>
      </c>
      <c r="C15" s="2" t="s">
        <v>13</v>
      </c>
      <c r="D15" s="2" t="s">
        <v>18</v>
      </c>
      <c r="E15" s="2">
        <v>1100</v>
      </c>
      <c r="F15" s="2">
        <v>330</v>
      </c>
      <c r="G15" s="2" t="s">
        <v>11</v>
      </c>
      <c r="H15" s="2">
        <v>72</v>
      </c>
      <c r="K15">
        <f t="shared" si="0"/>
        <v>2</v>
      </c>
    </row>
    <row r="16" spans="1:13">
      <c r="A16" s="2">
        <v>15</v>
      </c>
      <c r="B16" s="2" t="s">
        <v>32</v>
      </c>
      <c r="C16" s="2" t="s">
        <v>9</v>
      </c>
      <c r="D16" s="2" t="s">
        <v>22</v>
      </c>
      <c r="E16" s="2">
        <v>950</v>
      </c>
      <c r="F16" s="2">
        <v>180</v>
      </c>
      <c r="G16" s="2" t="s">
        <v>15</v>
      </c>
      <c r="K16">
        <f t="shared" si="0"/>
        <v>1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60C7C-52A8-452E-9A98-6BD8CFD1389B}">
  <dimension ref="A1:K16"/>
  <sheetViews>
    <sheetView workbookViewId="0">
      <selection activeCell="K2" sqref="K2"/>
    </sheetView>
  </sheetViews>
  <sheetFormatPr defaultRowHeight="14.25"/>
  <cols>
    <col min="1" max="1" width="2.875" bestFit="1" customWidth="1"/>
    <col min="2" max="2" width="14.375" bestFit="1" customWidth="1"/>
    <col min="3" max="3" width="6.5" bestFit="1" customWidth="1"/>
    <col min="4" max="4" width="11" bestFit="1" customWidth="1"/>
    <col min="5" max="6" width="5.375" bestFit="1" customWidth="1"/>
    <col min="7" max="7" width="9.375" bestFit="1" customWidth="1"/>
    <col min="8" max="8" width="5.875" bestFit="1" customWidth="1"/>
    <col min="11" max="11" width="45.125" customWidth="1"/>
    <col min="12" max="14" width="10.625" customWidth="1"/>
  </cols>
  <sheetData>
    <row r="1" spans="1:11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K1" s="4" t="s">
        <v>48</v>
      </c>
    </row>
    <row r="2" spans="1:11">
      <c r="A2" s="2">
        <v>1</v>
      </c>
      <c r="B2" s="2" t="s">
        <v>8</v>
      </c>
      <c r="C2" s="2" t="s">
        <v>9</v>
      </c>
      <c r="D2" s="2" t="s">
        <v>10</v>
      </c>
      <c r="E2" s="2">
        <v>1200</v>
      </c>
      <c r="F2" s="2">
        <v>300</v>
      </c>
      <c r="G2" s="2" t="s">
        <v>11</v>
      </c>
      <c r="H2" s="2">
        <v>85</v>
      </c>
      <c r="K2">
        <f>COUNTIFS(C2:C16,"East",D2:D16,"Laptop")</f>
        <v>2</v>
      </c>
    </row>
    <row r="3" spans="1:11">
      <c r="A3" s="2">
        <v>2</v>
      </c>
      <c r="B3" s="2" t="s">
        <v>12</v>
      </c>
      <c r="C3" s="2" t="s">
        <v>13</v>
      </c>
      <c r="D3" s="2" t="s">
        <v>14</v>
      </c>
      <c r="E3" s="2">
        <v>800</v>
      </c>
      <c r="F3" s="2">
        <v>200</v>
      </c>
      <c r="G3" s="2" t="s">
        <v>15</v>
      </c>
      <c r="H3" s="2">
        <v>70</v>
      </c>
    </row>
    <row r="4" spans="1:11" ht="15">
      <c r="A4" s="2">
        <v>3</v>
      </c>
      <c r="B4" s="2" t="s">
        <v>16</v>
      </c>
      <c r="C4" s="2" t="s">
        <v>17</v>
      </c>
      <c r="D4" s="2" t="s">
        <v>18</v>
      </c>
      <c r="E4" s="2">
        <v>500</v>
      </c>
      <c r="F4" s="2">
        <v>100</v>
      </c>
      <c r="G4" s="2" t="s">
        <v>15</v>
      </c>
      <c r="H4" s="2">
        <v>45</v>
      </c>
      <c r="K4" s="4" t="s">
        <v>45</v>
      </c>
    </row>
    <row r="5" spans="1:11">
      <c r="A5" s="2">
        <v>4</v>
      </c>
      <c r="B5" s="2" t="s">
        <v>19</v>
      </c>
      <c r="C5" s="2" t="s">
        <v>9</v>
      </c>
      <c r="D5" s="2" t="s">
        <v>10</v>
      </c>
      <c r="E5" s="2">
        <v>2200</v>
      </c>
      <c r="F5" s="2">
        <v>700</v>
      </c>
      <c r="G5" s="2" t="s">
        <v>11</v>
      </c>
      <c r="H5" s="2">
        <v>95</v>
      </c>
      <c r="K5">
        <f>COUNTIFS(H2:H16,"&gt;=70",G2:G16,"Yes")</f>
        <v>7</v>
      </c>
    </row>
    <row r="6" spans="1:11">
      <c r="A6" s="2">
        <v>5</v>
      </c>
      <c r="B6" s="2" t="s">
        <v>20</v>
      </c>
      <c r="C6" s="2" t="s">
        <v>21</v>
      </c>
      <c r="D6" s="2" t="s">
        <v>22</v>
      </c>
      <c r="E6" s="2">
        <v>300</v>
      </c>
      <c r="F6" s="2">
        <v>50</v>
      </c>
      <c r="G6" s="2" t="s">
        <v>15</v>
      </c>
      <c r="H6" s="2">
        <v>60</v>
      </c>
    </row>
    <row r="7" spans="1:11" ht="15">
      <c r="A7" s="2">
        <v>6</v>
      </c>
      <c r="B7" s="2" t="s">
        <v>23</v>
      </c>
      <c r="C7" s="2" t="s">
        <v>13</v>
      </c>
      <c r="D7" s="2" t="s">
        <v>18</v>
      </c>
      <c r="E7" s="2">
        <v>1500</v>
      </c>
      <c r="F7" s="2">
        <v>450</v>
      </c>
      <c r="G7" s="2" t="s">
        <v>11</v>
      </c>
      <c r="H7" s="2">
        <v>78</v>
      </c>
      <c r="K7" s="4" t="s">
        <v>46</v>
      </c>
    </row>
    <row r="8" spans="1:11">
      <c r="A8" s="2">
        <v>7</v>
      </c>
      <c r="B8" s="2" t="s">
        <v>24</v>
      </c>
      <c r="C8" s="2" t="s">
        <v>17</v>
      </c>
      <c r="D8" s="2" t="s">
        <v>10</v>
      </c>
      <c r="E8" s="2">
        <v>900</v>
      </c>
      <c r="F8" s="2">
        <v>250</v>
      </c>
      <c r="G8" s="2" t="s">
        <v>15</v>
      </c>
      <c r="H8" s="2">
        <v>55</v>
      </c>
      <c r="K8">
        <f>COUNTIFS(D2:D16, "Books", C2:C16, "West")</f>
        <v>1</v>
      </c>
    </row>
    <row r="9" spans="1:11" ht="15">
      <c r="A9" s="2">
        <v>8</v>
      </c>
      <c r="B9" s="2" t="s">
        <v>25</v>
      </c>
      <c r="C9" s="2" t="s">
        <v>21</v>
      </c>
      <c r="D9" s="2" t="s">
        <v>22</v>
      </c>
      <c r="E9" s="2">
        <v>2000</v>
      </c>
      <c r="F9" s="2">
        <v>600</v>
      </c>
      <c r="G9" s="2" t="s">
        <v>11</v>
      </c>
      <c r="H9" s="2">
        <v>88</v>
      </c>
      <c r="K9" s="4" t="s">
        <v>47</v>
      </c>
    </row>
    <row r="10" spans="1:11">
      <c r="A10" s="2">
        <v>9</v>
      </c>
      <c r="B10" s="2" t="s">
        <v>26</v>
      </c>
      <c r="C10" s="2" t="s">
        <v>9</v>
      </c>
      <c r="D10" s="2" t="s">
        <v>14</v>
      </c>
      <c r="E10" s="2">
        <v>750</v>
      </c>
      <c r="F10" s="2">
        <v>150</v>
      </c>
      <c r="G10" s="2" t="s">
        <v>15</v>
      </c>
      <c r="H10" s="2">
        <v>40</v>
      </c>
      <c r="K10">
        <f>COUNTIFS(H2:H16, "&gt;=70", G2:G16, "Yes")</f>
        <v>7</v>
      </c>
    </row>
    <row r="11" spans="1:11">
      <c r="A11" s="2">
        <v>10</v>
      </c>
      <c r="B11" s="2" t="s">
        <v>27</v>
      </c>
      <c r="C11" s="2" t="s">
        <v>13</v>
      </c>
      <c r="D11" s="2" t="s">
        <v>22</v>
      </c>
      <c r="E11" s="2">
        <v>1300</v>
      </c>
      <c r="F11" s="2">
        <v>500</v>
      </c>
      <c r="G11" s="2" t="s">
        <v>11</v>
      </c>
      <c r="H11" s="2">
        <v>92</v>
      </c>
    </row>
    <row r="12" spans="1:11">
      <c r="A12" s="2">
        <v>11</v>
      </c>
      <c r="B12" s="2" t="s">
        <v>28</v>
      </c>
      <c r="C12" s="2" t="s">
        <v>17</v>
      </c>
      <c r="D12" s="2" t="s">
        <v>18</v>
      </c>
      <c r="E12" s="2">
        <v>600</v>
      </c>
      <c r="F12" s="2">
        <v>120</v>
      </c>
      <c r="G12" s="2" t="s">
        <v>15</v>
      </c>
      <c r="H12" s="2">
        <v>67</v>
      </c>
    </row>
    <row r="13" spans="1:11">
      <c r="A13" s="2">
        <v>12</v>
      </c>
      <c r="B13" s="2" t="s">
        <v>29</v>
      </c>
      <c r="C13" s="2" t="s">
        <v>9</v>
      </c>
      <c r="D13" s="2" t="s">
        <v>14</v>
      </c>
      <c r="E13" s="2">
        <v>1800</v>
      </c>
      <c r="F13" s="2">
        <v>550</v>
      </c>
      <c r="G13" s="2" t="s">
        <v>11</v>
      </c>
      <c r="H13" s="2">
        <v>80</v>
      </c>
    </row>
    <row r="14" spans="1:11">
      <c r="A14" s="2">
        <v>13</v>
      </c>
      <c r="B14" s="2" t="s">
        <v>30</v>
      </c>
      <c r="C14" s="2" t="s">
        <v>21</v>
      </c>
      <c r="D14" s="2" t="s">
        <v>10</v>
      </c>
      <c r="E14" s="2">
        <v>400</v>
      </c>
      <c r="F14" s="2">
        <v>90</v>
      </c>
      <c r="G14" s="2" t="s">
        <v>15</v>
      </c>
      <c r="H14" s="2">
        <v>50</v>
      </c>
    </row>
    <row r="15" spans="1:11">
      <c r="A15" s="2">
        <v>14</v>
      </c>
      <c r="B15" s="2" t="s">
        <v>31</v>
      </c>
      <c r="C15" s="2" t="s">
        <v>13</v>
      </c>
      <c r="D15" s="2" t="s">
        <v>18</v>
      </c>
      <c r="E15" s="2">
        <v>1100</v>
      </c>
      <c r="F15" s="2">
        <v>330</v>
      </c>
      <c r="G15" s="2" t="s">
        <v>11</v>
      </c>
      <c r="H15" s="2">
        <v>72</v>
      </c>
    </row>
    <row r="16" spans="1:11">
      <c r="A16" s="2">
        <v>15</v>
      </c>
      <c r="B16" s="2" t="s">
        <v>32</v>
      </c>
      <c r="C16" s="2" t="s">
        <v>9</v>
      </c>
      <c r="D16" s="2" t="s">
        <v>22</v>
      </c>
      <c r="E16" s="2">
        <v>950</v>
      </c>
      <c r="F16" s="2">
        <v>180</v>
      </c>
      <c r="G16" s="2" t="s">
        <v>15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B55C6-F56A-4558-B4F3-06CBAC0BEE9B}">
  <dimension ref="A1:K16"/>
  <sheetViews>
    <sheetView tabSelected="1" workbookViewId="0">
      <selection activeCell="K3" sqref="K3"/>
    </sheetView>
  </sheetViews>
  <sheetFormatPr defaultRowHeight="14.25"/>
  <cols>
    <col min="1" max="1" width="2.875" bestFit="1" customWidth="1"/>
    <col min="2" max="2" width="14.375" bestFit="1" customWidth="1"/>
    <col min="3" max="3" width="6.5" bestFit="1" customWidth="1"/>
    <col min="4" max="4" width="11" bestFit="1" customWidth="1"/>
    <col min="5" max="6" width="5.375" bestFit="1" customWidth="1"/>
    <col min="7" max="7" width="9.375" bestFit="1" customWidth="1"/>
    <col min="8" max="8" width="5.875" bestFit="1" customWidth="1"/>
    <col min="11" max="11" width="44.75" customWidth="1"/>
  </cols>
  <sheetData>
    <row r="1" spans="1:11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1" ht="15">
      <c r="A2" s="2">
        <v>1</v>
      </c>
      <c r="B2" s="2" t="s">
        <v>8</v>
      </c>
      <c r="C2" s="2" t="s">
        <v>9</v>
      </c>
      <c r="D2" s="2" t="s">
        <v>10</v>
      </c>
      <c r="E2" s="2">
        <v>1200</v>
      </c>
      <c r="F2" s="2">
        <v>300</v>
      </c>
      <c r="G2" s="2" t="s">
        <v>11</v>
      </c>
      <c r="H2" s="2">
        <v>85</v>
      </c>
      <c r="K2" s="4" t="s">
        <v>49</v>
      </c>
    </row>
    <row r="3" spans="1:11">
      <c r="A3" s="2">
        <v>2</v>
      </c>
      <c r="B3" s="2" t="s">
        <v>12</v>
      </c>
      <c r="C3" s="2" t="s">
        <v>13</v>
      </c>
      <c r="D3" s="2" t="s">
        <v>14</v>
      </c>
      <c r="E3" s="2">
        <v>800</v>
      </c>
      <c r="F3" s="2">
        <v>200</v>
      </c>
      <c r="G3" s="2" t="s">
        <v>15</v>
      </c>
      <c r="H3" s="2">
        <v>70</v>
      </c>
      <c r="K3">
        <f>AVERAGEIF(H2:H16,"&gt;=50",H2:H16)</f>
        <v>74.333333333333329</v>
      </c>
    </row>
    <row r="4" spans="1:11">
      <c r="A4" s="2">
        <v>3</v>
      </c>
      <c r="B4" s="2" t="s">
        <v>16</v>
      </c>
      <c r="C4" s="2" t="s">
        <v>17</v>
      </c>
      <c r="D4" s="2" t="s">
        <v>18</v>
      </c>
      <c r="E4" s="2">
        <v>500</v>
      </c>
      <c r="F4" s="2">
        <v>100</v>
      </c>
      <c r="G4" s="2" t="s">
        <v>15</v>
      </c>
      <c r="H4" s="2">
        <v>45</v>
      </c>
    </row>
    <row r="5" spans="1:11">
      <c r="A5" s="2">
        <v>4</v>
      </c>
      <c r="B5" s="2" t="s">
        <v>19</v>
      </c>
      <c r="C5" s="2" t="s">
        <v>9</v>
      </c>
      <c r="D5" s="2" t="s">
        <v>10</v>
      </c>
      <c r="E5" s="2">
        <v>2200</v>
      </c>
      <c r="F5" s="2">
        <v>700</v>
      </c>
      <c r="G5" s="2" t="s">
        <v>11</v>
      </c>
      <c r="H5" s="2">
        <v>95</v>
      </c>
    </row>
    <row r="6" spans="1:11">
      <c r="A6" s="2">
        <v>5</v>
      </c>
      <c r="B6" s="2" t="s">
        <v>20</v>
      </c>
      <c r="C6" s="2" t="s">
        <v>21</v>
      </c>
      <c r="D6" s="2" t="s">
        <v>22</v>
      </c>
      <c r="E6" s="2">
        <v>300</v>
      </c>
      <c r="F6" s="2">
        <v>50</v>
      </c>
      <c r="G6" s="2" t="s">
        <v>15</v>
      </c>
      <c r="H6" s="2">
        <v>60</v>
      </c>
    </row>
    <row r="7" spans="1:11">
      <c r="A7" s="2">
        <v>6</v>
      </c>
      <c r="B7" s="2" t="s">
        <v>23</v>
      </c>
      <c r="C7" s="2" t="s">
        <v>13</v>
      </c>
      <c r="D7" s="2" t="s">
        <v>18</v>
      </c>
      <c r="E7" s="2">
        <v>1500</v>
      </c>
      <c r="F7" s="2">
        <v>450</v>
      </c>
      <c r="G7" s="2" t="s">
        <v>11</v>
      </c>
      <c r="H7" s="2">
        <v>78</v>
      </c>
    </row>
    <row r="8" spans="1:11">
      <c r="A8" s="2">
        <v>7</v>
      </c>
      <c r="B8" s="2" t="s">
        <v>24</v>
      </c>
      <c r="C8" s="2" t="s">
        <v>17</v>
      </c>
      <c r="D8" s="2" t="s">
        <v>10</v>
      </c>
      <c r="E8" s="2">
        <v>900</v>
      </c>
      <c r="F8" s="2">
        <v>250</v>
      </c>
      <c r="G8" s="2" t="s">
        <v>15</v>
      </c>
      <c r="H8" s="2">
        <v>55</v>
      </c>
    </row>
    <row r="9" spans="1:11">
      <c r="A9" s="2">
        <v>8</v>
      </c>
      <c r="B9" s="2" t="s">
        <v>25</v>
      </c>
      <c r="C9" s="2" t="s">
        <v>21</v>
      </c>
      <c r="D9" s="2" t="s">
        <v>22</v>
      </c>
      <c r="E9" s="2">
        <v>2000</v>
      </c>
      <c r="F9" s="2">
        <v>600</v>
      </c>
      <c r="G9" s="2" t="s">
        <v>11</v>
      </c>
      <c r="H9" s="2">
        <v>88</v>
      </c>
    </row>
    <row r="10" spans="1:11">
      <c r="A10" s="2">
        <v>9</v>
      </c>
      <c r="B10" s="2" t="s">
        <v>26</v>
      </c>
      <c r="C10" s="2" t="s">
        <v>9</v>
      </c>
      <c r="D10" s="2" t="s">
        <v>14</v>
      </c>
      <c r="E10" s="2">
        <v>750</v>
      </c>
      <c r="F10" s="2">
        <v>150</v>
      </c>
      <c r="G10" s="2" t="s">
        <v>15</v>
      </c>
      <c r="H10" s="2">
        <v>40</v>
      </c>
    </row>
    <row r="11" spans="1:11">
      <c r="A11" s="2">
        <v>10</v>
      </c>
      <c r="B11" s="2" t="s">
        <v>27</v>
      </c>
      <c r="C11" s="2" t="s">
        <v>13</v>
      </c>
      <c r="D11" s="2" t="s">
        <v>22</v>
      </c>
      <c r="E11" s="2">
        <v>1300</v>
      </c>
      <c r="F11" s="2">
        <v>500</v>
      </c>
      <c r="G11" s="2" t="s">
        <v>11</v>
      </c>
      <c r="H11" s="2">
        <v>92</v>
      </c>
    </row>
    <row r="12" spans="1:11">
      <c r="A12" s="2">
        <v>11</v>
      </c>
      <c r="B12" s="2" t="s">
        <v>28</v>
      </c>
      <c r="C12" s="2" t="s">
        <v>17</v>
      </c>
      <c r="D12" s="2" t="s">
        <v>18</v>
      </c>
      <c r="E12" s="2">
        <v>600</v>
      </c>
      <c r="F12" s="2">
        <v>120</v>
      </c>
      <c r="G12" s="2" t="s">
        <v>15</v>
      </c>
      <c r="H12" s="2">
        <v>67</v>
      </c>
    </row>
    <row r="13" spans="1:11">
      <c r="A13" s="2">
        <v>12</v>
      </c>
      <c r="B13" s="2" t="s">
        <v>29</v>
      </c>
      <c r="C13" s="2" t="s">
        <v>9</v>
      </c>
      <c r="D13" s="2" t="s">
        <v>14</v>
      </c>
      <c r="E13" s="2">
        <v>1800</v>
      </c>
      <c r="F13" s="2">
        <v>550</v>
      </c>
      <c r="G13" s="2" t="s">
        <v>11</v>
      </c>
      <c r="H13" s="2">
        <v>80</v>
      </c>
    </row>
    <row r="14" spans="1:11">
      <c r="A14" s="2">
        <v>13</v>
      </c>
      <c r="B14" s="2" t="s">
        <v>30</v>
      </c>
      <c r="C14" s="2" t="s">
        <v>21</v>
      </c>
      <c r="D14" s="2" t="s">
        <v>10</v>
      </c>
      <c r="E14" s="2">
        <v>400</v>
      </c>
      <c r="F14" s="2">
        <v>90</v>
      </c>
      <c r="G14" s="2" t="s">
        <v>15</v>
      </c>
      <c r="H14" s="2">
        <v>50</v>
      </c>
    </row>
    <row r="15" spans="1:11">
      <c r="A15" s="2">
        <v>14</v>
      </c>
      <c r="B15" s="2" t="s">
        <v>31</v>
      </c>
      <c r="C15" s="2" t="s">
        <v>13</v>
      </c>
      <c r="D15" s="2" t="s">
        <v>18</v>
      </c>
      <c r="E15" s="2">
        <v>1100</v>
      </c>
      <c r="F15" s="2">
        <v>330</v>
      </c>
      <c r="G15" s="2" t="s">
        <v>11</v>
      </c>
      <c r="H15" s="2">
        <v>72</v>
      </c>
    </row>
    <row r="16" spans="1:11">
      <c r="A16" s="2">
        <v>15</v>
      </c>
      <c r="B16" s="2" t="s">
        <v>32</v>
      </c>
      <c r="C16" s="2" t="s">
        <v>9</v>
      </c>
      <c r="D16" s="2" t="s">
        <v>22</v>
      </c>
      <c r="E16" s="2">
        <v>950</v>
      </c>
      <c r="F16" s="2">
        <v>180</v>
      </c>
      <c r="G16" s="2" t="s">
        <v>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BBB93-881D-4B58-95B2-030B582E473A}">
  <dimension ref="A1:H16"/>
  <sheetViews>
    <sheetView workbookViewId="0">
      <selection activeCell="J22" sqref="J22"/>
    </sheetView>
  </sheetViews>
  <sheetFormatPr defaultRowHeight="14.25"/>
  <cols>
    <col min="1" max="1" width="2.875" bestFit="1" customWidth="1"/>
    <col min="2" max="2" width="14.375" bestFit="1" customWidth="1"/>
    <col min="3" max="3" width="6.5" bestFit="1" customWidth="1"/>
    <col min="4" max="4" width="11" bestFit="1" customWidth="1"/>
    <col min="5" max="6" width="5.375" bestFit="1" customWidth="1"/>
    <col min="7" max="7" width="9.375" bestFit="1" customWidth="1"/>
    <col min="8" max="8" width="5.875" bestFit="1" customWidth="1"/>
  </cols>
  <sheetData>
    <row r="1" spans="1:8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1</v>
      </c>
      <c r="B2" s="2" t="s">
        <v>8</v>
      </c>
      <c r="C2" s="2" t="s">
        <v>9</v>
      </c>
      <c r="D2" s="2" t="s">
        <v>10</v>
      </c>
      <c r="E2" s="2">
        <v>1200</v>
      </c>
      <c r="F2" s="2">
        <v>300</v>
      </c>
      <c r="G2" s="2" t="s">
        <v>11</v>
      </c>
      <c r="H2" s="2">
        <v>85</v>
      </c>
    </row>
    <row r="3" spans="1:8">
      <c r="A3" s="2">
        <v>2</v>
      </c>
      <c r="B3" s="2" t="s">
        <v>12</v>
      </c>
      <c r="C3" s="2" t="s">
        <v>13</v>
      </c>
      <c r="D3" s="2" t="s">
        <v>14</v>
      </c>
      <c r="E3" s="2">
        <v>800</v>
      </c>
      <c r="F3" s="2">
        <v>200</v>
      </c>
      <c r="G3" s="2" t="s">
        <v>15</v>
      </c>
      <c r="H3" s="2">
        <v>70</v>
      </c>
    </row>
    <row r="4" spans="1:8">
      <c r="A4" s="2">
        <v>3</v>
      </c>
      <c r="B4" s="2" t="s">
        <v>16</v>
      </c>
      <c r="C4" s="2" t="s">
        <v>17</v>
      </c>
      <c r="D4" s="2" t="s">
        <v>18</v>
      </c>
      <c r="E4" s="2">
        <v>500</v>
      </c>
      <c r="F4" s="2">
        <v>100</v>
      </c>
      <c r="G4" s="2" t="s">
        <v>15</v>
      </c>
      <c r="H4" s="2">
        <v>45</v>
      </c>
    </row>
    <row r="5" spans="1:8">
      <c r="A5" s="2">
        <v>4</v>
      </c>
      <c r="B5" s="2" t="s">
        <v>19</v>
      </c>
      <c r="C5" s="2" t="s">
        <v>9</v>
      </c>
      <c r="D5" s="2" t="s">
        <v>10</v>
      </c>
      <c r="E5" s="2">
        <v>2200</v>
      </c>
      <c r="F5" s="2">
        <v>700</v>
      </c>
      <c r="G5" s="2" t="s">
        <v>11</v>
      </c>
      <c r="H5" s="2">
        <v>95</v>
      </c>
    </row>
    <row r="6" spans="1:8">
      <c r="A6" s="2">
        <v>5</v>
      </c>
      <c r="B6" s="2" t="s">
        <v>20</v>
      </c>
      <c r="C6" s="2" t="s">
        <v>21</v>
      </c>
      <c r="D6" s="2" t="s">
        <v>22</v>
      </c>
      <c r="E6" s="2">
        <v>300</v>
      </c>
      <c r="F6" s="2">
        <v>50</v>
      </c>
      <c r="G6" s="2" t="s">
        <v>15</v>
      </c>
      <c r="H6" s="2">
        <v>60</v>
      </c>
    </row>
    <row r="7" spans="1:8">
      <c r="A7" s="2">
        <v>6</v>
      </c>
      <c r="B7" s="2" t="s">
        <v>23</v>
      </c>
      <c r="C7" s="2" t="s">
        <v>13</v>
      </c>
      <c r="D7" s="2" t="s">
        <v>18</v>
      </c>
      <c r="E7" s="2">
        <v>1500</v>
      </c>
      <c r="F7" s="2">
        <v>450</v>
      </c>
      <c r="G7" s="2" t="s">
        <v>11</v>
      </c>
      <c r="H7" s="2">
        <v>78</v>
      </c>
    </row>
    <row r="8" spans="1:8">
      <c r="A8" s="2">
        <v>7</v>
      </c>
      <c r="B8" s="2" t="s">
        <v>24</v>
      </c>
      <c r="C8" s="2" t="s">
        <v>17</v>
      </c>
      <c r="D8" s="2" t="s">
        <v>10</v>
      </c>
      <c r="E8" s="2">
        <v>900</v>
      </c>
      <c r="F8" s="2">
        <v>250</v>
      </c>
      <c r="G8" s="2" t="s">
        <v>15</v>
      </c>
      <c r="H8" s="2">
        <v>55</v>
      </c>
    </row>
    <row r="9" spans="1:8">
      <c r="A9" s="2">
        <v>8</v>
      </c>
      <c r="B9" s="2" t="s">
        <v>25</v>
      </c>
      <c r="C9" s="2" t="s">
        <v>21</v>
      </c>
      <c r="D9" s="2" t="s">
        <v>22</v>
      </c>
      <c r="E9" s="2">
        <v>2000</v>
      </c>
      <c r="F9" s="2">
        <v>600</v>
      </c>
      <c r="G9" s="2" t="s">
        <v>11</v>
      </c>
      <c r="H9" s="2">
        <v>88</v>
      </c>
    </row>
    <row r="10" spans="1:8">
      <c r="A10" s="2">
        <v>9</v>
      </c>
      <c r="B10" s="2" t="s">
        <v>26</v>
      </c>
      <c r="C10" s="2" t="s">
        <v>9</v>
      </c>
      <c r="D10" s="2" t="s">
        <v>14</v>
      </c>
      <c r="E10" s="2">
        <v>750</v>
      </c>
      <c r="F10" s="2">
        <v>150</v>
      </c>
      <c r="G10" s="2" t="s">
        <v>15</v>
      </c>
      <c r="H10" s="2">
        <v>40</v>
      </c>
    </row>
    <row r="11" spans="1:8">
      <c r="A11" s="2">
        <v>10</v>
      </c>
      <c r="B11" s="2" t="s">
        <v>27</v>
      </c>
      <c r="C11" s="2" t="s">
        <v>13</v>
      </c>
      <c r="D11" s="2" t="s">
        <v>22</v>
      </c>
      <c r="E11" s="2">
        <v>1300</v>
      </c>
      <c r="F11" s="2">
        <v>500</v>
      </c>
      <c r="G11" s="2" t="s">
        <v>11</v>
      </c>
      <c r="H11" s="2">
        <v>92</v>
      </c>
    </row>
    <row r="12" spans="1:8">
      <c r="A12" s="2">
        <v>11</v>
      </c>
      <c r="B12" s="2" t="s">
        <v>28</v>
      </c>
      <c r="C12" s="2" t="s">
        <v>17</v>
      </c>
      <c r="D12" s="2" t="s">
        <v>18</v>
      </c>
      <c r="E12" s="2">
        <v>600</v>
      </c>
      <c r="F12" s="2">
        <v>120</v>
      </c>
      <c r="G12" s="2" t="s">
        <v>15</v>
      </c>
      <c r="H12" s="2">
        <v>67</v>
      </c>
    </row>
    <row r="13" spans="1:8">
      <c r="A13" s="2">
        <v>12</v>
      </c>
      <c r="B13" s="2" t="s">
        <v>29</v>
      </c>
      <c r="C13" s="2" t="s">
        <v>9</v>
      </c>
      <c r="D13" s="2" t="s">
        <v>14</v>
      </c>
      <c r="E13" s="2">
        <v>1800</v>
      </c>
      <c r="F13" s="2">
        <v>550</v>
      </c>
      <c r="G13" s="2" t="s">
        <v>11</v>
      </c>
      <c r="H13" s="2">
        <v>80</v>
      </c>
    </row>
    <row r="14" spans="1:8">
      <c r="A14" s="2">
        <v>13</v>
      </c>
      <c r="B14" s="2" t="s">
        <v>30</v>
      </c>
      <c r="C14" s="2" t="s">
        <v>21</v>
      </c>
      <c r="D14" s="2" t="s">
        <v>10</v>
      </c>
      <c r="E14" s="2">
        <v>400</v>
      </c>
      <c r="F14" s="2">
        <v>90</v>
      </c>
      <c r="G14" s="2" t="s">
        <v>15</v>
      </c>
      <c r="H14" s="2">
        <v>50</v>
      </c>
    </row>
    <row r="15" spans="1:8">
      <c r="A15" s="2">
        <v>14</v>
      </c>
      <c r="B15" s="2" t="s">
        <v>31</v>
      </c>
      <c r="C15" s="2" t="s">
        <v>13</v>
      </c>
      <c r="D15" s="2" t="s">
        <v>18</v>
      </c>
      <c r="E15" s="2">
        <v>1100</v>
      </c>
      <c r="F15" s="2">
        <v>330</v>
      </c>
      <c r="G15" s="2" t="s">
        <v>11</v>
      </c>
      <c r="H15" s="2">
        <v>72</v>
      </c>
    </row>
    <row r="16" spans="1:8">
      <c r="A16" s="2">
        <v>15</v>
      </c>
      <c r="B16" s="2" t="s">
        <v>32</v>
      </c>
      <c r="C16" s="2" t="s">
        <v>9</v>
      </c>
      <c r="D16" s="2" t="s">
        <v>22</v>
      </c>
      <c r="E16" s="2">
        <v>950</v>
      </c>
      <c r="F16" s="2">
        <v>180</v>
      </c>
      <c r="G16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IF</vt:lpstr>
      <vt:lpstr>AND</vt:lpstr>
      <vt:lpstr>OR</vt:lpstr>
      <vt:lpstr>IFS</vt:lpstr>
      <vt:lpstr>SUMIF</vt:lpstr>
      <vt:lpstr>SUMIFS</vt:lpstr>
      <vt:lpstr>COUNTIF</vt:lpstr>
      <vt:lpstr>COUNTIFS</vt:lpstr>
      <vt:lpstr>AVERAGEIF</vt:lpstr>
      <vt:lpstr>AVERAGEIFS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Mati</dc:creator>
  <cp:lastModifiedBy>Administrator</cp:lastModifiedBy>
  <dcterms:created xsi:type="dcterms:W3CDTF">2025-10-21T06:48:58Z</dcterms:created>
  <dcterms:modified xsi:type="dcterms:W3CDTF">2025-10-27T16:42:13Z</dcterms:modified>
</cp:coreProperties>
</file>
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jok mabie\EXCEL\DATASET\"/>
    </mc:Choice>
  </mc:AlternateContent>
  <xr:revisionPtr revIDLastSave="0" documentId="13_ncr:1_{1EE06AF5-FCAD-430F-8F68-D51EEF5ECDF7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SUM" sheetId="1" r:id="rId1"/>
    <sheet name="AVERAGE" sheetId="2" r:id="rId2"/>
    <sheet name="COUNT" sheetId="3" r:id="rId3"/>
    <sheet name="COUNTA" sheetId="4" r:id="rId4"/>
    <sheet name="COUNTBLANK" sheetId="5" r:id="rId5"/>
    <sheet name="MIN" sheetId="6" r:id="rId6"/>
    <sheet name="MAX" sheetId="7" r:id="rId7"/>
    <sheet name="LEN" sheetId="8" r:id="rId8"/>
    <sheet name="TRIM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5" l="1"/>
  <c r="L2" i="5"/>
  <c r="M3" i="4"/>
  <c r="L3" i="3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2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2" i="8"/>
  <c r="L3" i="7"/>
  <c r="L2" i="7"/>
  <c r="L3" i="6"/>
  <c r="L2" i="6"/>
  <c r="L5" i="5"/>
  <c r="L4" i="5"/>
  <c r="M2" i="4"/>
  <c r="L2" i="3"/>
  <c r="L4" i="2"/>
</calcChain>
</file>

<file path=xl/sharedStrings.xml><?xml version="1.0" encoding="utf-8"?>
<sst xmlns="http://schemas.openxmlformats.org/spreadsheetml/2006/main" count="642" uniqueCount="66">
  <si>
    <t>Date</t>
  </si>
  <si>
    <t>Region</t>
  </si>
  <si>
    <t>Salesperson</t>
  </si>
  <si>
    <t>Product</t>
  </si>
  <si>
    <t>Units Sold</t>
  </si>
  <si>
    <t>Unit Price</t>
  </si>
  <si>
    <t>Revenue</t>
  </si>
  <si>
    <t>Target</t>
  </si>
  <si>
    <t>Status</t>
  </si>
  <si>
    <t>North</t>
  </si>
  <si>
    <t>Alice</t>
  </si>
  <si>
    <t>Laptop</t>
  </si>
  <si>
    <t>Closed</t>
  </si>
  <si>
    <t>East</t>
  </si>
  <si>
    <t>Brian</t>
  </si>
  <si>
    <t>Mouse</t>
  </si>
  <si>
    <t>South</t>
  </si>
  <si>
    <t>Charles</t>
  </si>
  <si>
    <t>Keyboard</t>
  </si>
  <si>
    <t>West</t>
  </si>
  <si>
    <t>Diana</t>
  </si>
  <si>
    <t>Monitor</t>
  </si>
  <si>
    <t>Eric</t>
  </si>
  <si>
    <t>Pending</t>
  </si>
  <si>
    <t>Faith</t>
  </si>
  <si>
    <t>George</t>
  </si>
  <si>
    <t>Hannah</t>
  </si>
  <si>
    <t>Ian</t>
  </si>
  <si>
    <t>Julia</t>
  </si>
  <si>
    <t>Kevin</t>
  </si>
  <si>
    <t>Lucy</t>
  </si>
  <si>
    <t>Mark</t>
  </si>
  <si>
    <t>Nancy</t>
  </si>
  <si>
    <t>Olivia</t>
  </si>
  <si>
    <t>Total Revenue</t>
  </si>
  <si>
    <t>Total units sold</t>
  </si>
  <si>
    <t>Total Target</t>
  </si>
  <si>
    <t>Average Revenue</t>
  </si>
  <si>
    <t>Average units price</t>
  </si>
  <si>
    <t>Total Revenue Record</t>
  </si>
  <si>
    <t>All Sales Records</t>
  </si>
  <si>
    <t>Region Records</t>
  </si>
  <si>
    <t xml:space="preserve"> </t>
  </si>
  <si>
    <t>missing unites sold</t>
  </si>
  <si>
    <t>Missing Products</t>
  </si>
  <si>
    <t>Missing Dates</t>
  </si>
  <si>
    <t>Missing Revenues</t>
  </si>
  <si>
    <t>Lowest price</t>
  </si>
  <si>
    <t>lowest Revenue</t>
  </si>
  <si>
    <t>Highest unites sold</t>
  </si>
  <si>
    <t>Highest Revenues</t>
  </si>
  <si>
    <t>Region length</t>
  </si>
  <si>
    <t xml:space="preserve">North    </t>
  </si>
  <si>
    <t xml:space="preserve">East  </t>
  </si>
  <si>
    <t xml:space="preserve">   South</t>
  </si>
  <si>
    <t xml:space="preserve">    South</t>
  </si>
  <si>
    <t>Product length</t>
  </si>
  <si>
    <t xml:space="preserve">Laptop  </t>
  </si>
  <si>
    <t xml:space="preserve">Keyboard      </t>
  </si>
  <si>
    <t xml:space="preserve">   Laptop</t>
  </si>
  <si>
    <t xml:space="preserve">Mouse  </t>
  </si>
  <si>
    <t xml:space="preserve">  Laptop</t>
  </si>
  <si>
    <t xml:space="preserve">   East   </t>
  </si>
  <si>
    <t>Clean Region</t>
  </si>
  <si>
    <t>Clean Products</t>
  </si>
  <si>
    <t>Unites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</si>
</sst>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M4" sqref="M4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2" max="12" width="13.8554687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L2" s="4" t="s">
        <v>36</v>
      </c>
      <c r="M2">
        <v>11150</v>
      </c>
    </row>
    <row r="3" spans="1:13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L3" s="4" t="s">
        <v>34</v>
      </c>
      <c r="M3">
        <v>9815</v>
      </c>
    </row>
    <row r="4" spans="1:13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L4" s="4" t="s">
        <v>35</v>
      </c>
      <c r="M4">
        <v>73</v>
      </c>
    </row>
    <row r="5" spans="1:13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3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3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3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3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3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3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3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3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3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3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3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78E6-05CA-486E-B0D0-DFA453999CD5}">
  <dimension ref="A1:L16"/>
  <sheetViews>
    <sheetView topLeftCell="A2" workbookViewId="0">
      <selection activeCell="K8" sqref="K8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8.28515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s="4" t="s">
        <v>37</v>
      </c>
      <c r="L3">
        <v>755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 s="4" t="s">
        <v>38</v>
      </c>
      <c r="L4">
        <f>AVERAGE(F2:F16)</f>
        <v>256.78571428571428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6474-2595-43BF-BBE5-482D2C7696DD}">
  <dimension ref="A1:L16"/>
  <sheetViews>
    <sheetView workbookViewId="0">
      <selection activeCell="O3" sqref="O3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9.425781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 s="4" t="s">
        <v>39</v>
      </c>
      <c r="L2">
        <f>COUNT(G2:G16)</f>
        <v>13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s="4" t="s">
        <v>65</v>
      </c>
      <c r="L3">
        <f>COUNT(E2:E16)</f>
        <v>13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C4A0-49AE-4EA1-98F7-4179672E59B7}">
  <dimension ref="A1:M16"/>
  <sheetViews>
    <sheetView zoomScaleNormal="100" workbookViewId="0">
      <selection activeCell="N7" sqref="N7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2" max="12" width="17.4257812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L2" s="4" t="s">
        <v>40</v>
      </c>
      <c r="M2">
        <f>COUNTA(E2:E16)</f>
        <v>13</v>
      </c>
    </row>
    <row r="3" spans="1:13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L3" s="4" t="s">
        <v>41</v>
      </c>
      <c r="M3">
        <f>COUNTA(B2:B16)</f>
        <v>15</v>
      </c>
    </row>
    <row r="4" spans="1:13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L4" s="4"/>
      <c r="M4" t="s">
        <v>42</v>
      </c>
    </row>
    <row r="5" spans="1:13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3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3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3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3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3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3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3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3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3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3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3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0876-3104-4DC3-A555-E7C18D326ADD}">
  <dimension ref="A1:L16"/>
  <sheetViews>
    <sheetView zoomScaleNormal="100" workbookViewId="0">
      <selection activeCell="N8" sqref="N8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8.140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 s="4" t="s">
        <v>43</v>
      </c>
      <c r="L2">
        <f>COUNTBLANK(E2:E16)</f>
        <v>5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s="4" t="s">
        <v>46</v>
      </c>
      <c r="L3">
        <f>COUNTBLANK(G2:G16)</f>
        <v>2</v>
      </c>
    </row>
    <row r="4" spans="1:12" ht="30" x14ac:dyDescent="0.25">
      <c r="A4" s="2"/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 s="4" t="s">
        <v>44</v>
      </c>
      <c r="L4">
        <f>COUNTBLANK(D2:D16)</f>
        <v>3</v>
      </c>
    </row>
    <row r="5" spans="1:12" x14ac:dyDescent="0.25">
      <c r="A5" s="2">
        <v>45663</v>
      </c>
      <c r="B5" s="3" t="s">
        <v>19</v>
      </c>
      <c r="C5" s="3" t="s">
        <v>20</v>
      </c>
      <c r="D5" s="3"/>
      <c r="E5" s="3"/>
      <c r="F5" s="3">
        <v>220</v>
      </c>
      <c r="G5" s="3">
        <v>880</v>
      </c>
      <c r="H5" s="3">
        <v>900</v>
      </c>
      <c r="I5" s="3" t="s">
        <v>12</v>
      </c>
      <c r="K5" s="4" t="s">
        <v>45</v>
      </c>
      <c r="L5">
        <f>COUNTBLANK(A2:A16)</f>
        <v>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x14ac:dyDescent="0.25">
      <c r="A8" s="2">
        <v>45666</v>
      </c>
      <c r="B8" s="3" t="s">
        <v>16</v>
      </c>
      <c r="C8" s="3" t="s">
        <v>25</v>
      </c>
      <c r="D8" s="3"/>
      <c r="E8" s="3"/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/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/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/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7F56-1BE6-4919-AF1A-C8A04035E3E6}">
  <dimension ref="A1:L16"/>
  <sheetViews>
    <sheetView workbookViewId="0">
      <selection activeCell="L3" sqref="L3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7.71093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 s="4" t="s">
        <v>47</v>
      </c>
      <c r="L2">
        <f>MIN(F2:F16)</f>
        <v>20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t="s">
        <v>48</v>
      </c>
      <c r="L3">
        <f>MIN(G2:G16)</f>
        <v>150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A594-9DD6-4C54-83E9-4FB1D51E5911}">
  <dimension ref="A1:L16"/>
  <sheetViews>
    <sheetView workbookViewId="0">
      <selection activeCell="L3" sqref="L3"/>
    </sheetView>
  </sheetViews>
  <sheetFormatPr defaultRowHeight="15" x14ac:dyDescent="0.25"/>
  <cols>
    <col min="1" max="1" width="13.85546875" customWidth="1"/>
    <col min="3" max="3" width="12" customWidth="1"/>
    <col min="5" max="5" width="12.140625" customWidth="1"/>
    <col min="11" max="11" width="18.140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2">
        <v>45660</v>
      </c>
      <c r="B2" s="3" t="s">
        <v>9</v>
      </c>
      <c r="C2" s="3" t="s">
        <v>10</v>
      </c>
      <c r="D2" s="3" t="s">
        <v>11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 s="4" t="s">
        <v>49</v>
      </c>
      <c r="L2">
        <f>MAX(E2:E16)</f>
        <v>15</v>
      </c>
    </row>
    <row r="3" spans="1:12" x14ac:dyDescent="0.25">
      <c r="A3" s="2">
        <v>45661</v>
      </c>
      <c r="B3" s="3" t="s">
        <v>13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 s="4" t="s">
        <v>50</v>
      </c>
      <c r="L3">
        <f>MAX(G2:G16)</f>
        <v>1950</v>
      </c>
    </row>
    <row r="4" spans="1:12" ht="30" x14ac:dyDescent="0.25">
      <c r="A4" s="2">
        <v>45662</v>
      </c>
      <c r="B4" s="3" t="s">
        <v>16</v>
      </c>
      <c r="C4" s="3" t="s">
        <v>17</v>
      </c>
      <c r="D4" s="3" t="s">
        <v>18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11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</row>
    <row r="8" spans="1:12" ht="30" x14ac:dyDescent="0.25">
      <c r="A8" s="2">
        <v>45666</v>
      </c>
      <c r="B8" s="3" t="s">
        <v>16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</row>
    <row r="11" spans="1:12" x14ac:dyDescent="0.25">
      <c r="A11" s="2">
        <v>45669</v>
      </c>
      <c r="B11" s="3" t="s">
        <v>13</v>
      </c>
      <c r="C11" s="3" t="s">
        <v>28</v>
      </c>
      <c r="D11" s="3" t="s">
        <v>15</v>
      </c>
      <c r="E11" s="3"/>
      <c r="F11" s="3">
        <v>20</v>
      </c>
      <c r="G11" s="3"/>
      <c r="H11" s="3">
        <v>250</v>
      </c>
      <c r="I11" s="3" t="s">
        <v>23</v>
      </c>
    </row>
    <row r="12" spans="1:12" ht="30" x14ac:dyDescent="0.25">
      <c r="A12" s="2">
        <v>45670</v>
      </c>
      <c r="B12" s="3" t="s">
        <v>16</v>
      </c>
      <c r="C12" s="3" t="s">
        <v>29</v>
      </c>
      <c r="D12" s="3" t="s">
        <v>18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11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</row>
    <row r="16" spans="1:12" ht="30" x14ac:dyDescent="0.25">
      <c r="A16" s="2">
        <v>45674</v>
      </c>
      <c r="B16" s="3" t="s">
        <v>16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615F-3605-441D-8994-82897724997E}">
  <dimension ref="A1:L16"/>
  <sheetViews>
    <sheetView zoomScale="101" zoomScaleNormal="120" workbookViewId="0">
      <selection activeCell="L2" sqref="L2"/>
    </sheetView>
  </sheetViews>
  <sheetFormatPr defaultRowHeight="15" x14ac:dyDescent="0.25"/>
  <cols>
    <col min="1" max="1" width="13.85546875" customWidth="1"/>
    <col min="3" max="3" width="12" customWidth="1"/>
    <col min="4" max="4" width="10.7109375" customWidth="1"/>
    <col min="5" max="5" width="12.140625" customWidth="1"/>
    <col min="11" max="11" width="17" customWidth="1"/>
    <col min="12" max="12" width="14.5703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51</v>
      </c>
      <c r="L1" s="1" t="s">
        <v>56</v>
      </c>
    </row>
    <row r="2" spans="1:12" x14ac:dyDescent="0.25">
      <c r="A2" s="2">
        <v>45660</v>
      </c>
      <c r="B2" s="3" t="s">
        <v>52</v>
      </c>
      <c r="C2" s="3" t="s">
        <v>10</v>
      </c>
      <c r="D2" s="3" t="s">
        <v>57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>
        <f>LEN(B2)</f>
        <v>9</v>
      </c>
      <c r="L2">
        <f>LEN(D2)</f>
        <v>8</v>
      </c>
    </row>
    <row r="3" spans="1:12" x14ac:dyDescent="0.25">
      <c r="A3" s="2">
        <v>45661</v>
      </c>
      <c r="B3" s="3" t="s">
        <v>53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>
        <f t="shared" ref="K3:K16" si="0">LEN(B3)</f>
        <v>6</v>
      </c>
      <c r="L3">
        <f t="shared" ref="L3:L16" si="1">LEN(D3)</f>
        <v>5</v>
      </c>
    </row>
    <row r="4" spans="1:12" x14ac:dyDescent="0.25">
      <c r="A4" s="2">
        <v>45662</v>
      </c>
      <c r="B4" s="3" t="s">
        <v>54</v>
      </c>
      <c r="C4" s="3" t="s">
        <v>17</v>
      </c>
      <c r="D4" s="3" t="s">
        <v>58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>
        <f t="shared" si="0"/>
        <v>8</v>
      </c>
      <c r="L4">
        <f t="shared" si="1"/>
        <v>14</v>
      </c>
    </row>
    <row r="5" spans="1:12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>
        <f t="shared" si="0"/>
        <v>4</v>
      </c>
      <c r="L5">
        <f t="shared" si="1"/>
        <v>7</v>
      </c>
    </row>
    <row r="6" spans="1:12" x14ac:dyDescent="0.25">
      <c r="A6" s="2">
        <v>45664</v>
      </c>
      <c r="B6" s="3" t="s">
        <v>9</v>
      </c>
      <c r="C6" s="3" t="s">
        <v>22</v>
      </c>
      <c r="D6" s="3" t="s">
        <v>59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  <c r="K6">
        <f t="shared" si="0"/>
        <v>5</v>
      </c>
      <c r="L6">
        <f t="shared" si="1"/>
        <v>9</v>
      </c>
    </row>
    <row r="7" spans="1:12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  <c r="K7">
        <f t="shared" si="0"/>
        <v>4</v>
      </c>
      <c r="L7">
        <f t="shared" si="1"/>
        <v>5</v>
      </c>
    </row>
    <row r="8" spans="1:12" ht="30" x14ac:dyDescent="0.25">
      <c r="A8" s="2">
        <v>45666</v>
      </c>
      <c r="B8" s="3" t="s">
        <v>55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  <c r="K8">
        <f t="shared" si="0"/>
        <v>9</v>
      </c>
      <c r="L8">
        <f t="shared" si="1"/>
        <v>8</v>
      </c>
    </row>
    <row r="9" spans="1:12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  <c r="K9">
        <f t="shared" si="0"/>
        <v>4</v>
      </c>
      <c r="L9">
        <f t="shared" si="1"/>
        <v>6</v>
      </c>
    </row>
    <row r="10" spans="1:12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  <c r="K10">
        <f t="shared" si="0"/>
        <v>5</v>
      </c>
      <c r="L10">
        <f t="shared" si="1"/>
        <v>7</v>
      </c>
    </row>
    <row r="11" spans="1:12" x14ac:dyDescent="0.25">
      <c r="A11" s="2">
        <v>45669</v>
      </c>
      <c r="B11" s="3" t="s">
        <v>62</v>
      </c>
      <c r="C11" s="3" t="s">
        <v>28</v>
      </c>
      <c r="D11" s="3" t="s">
        <v>60</v>
      </c>
      <c r="E11" s="3"/>
      <c r="F11" s="3">
        <v>20</v>
      </c>
      <c r="G11" s="3"/>
      <c r="H11" s="3">
        <v>250</v>
      </c>
      <c r="I11" s="3" t="s">
        <v>23</v>
      </c>
      <c r="K11">
        <f t="shared" si="0"/>
        <v>10</v>
      </c>
      <c r="L11">
        <f t="shared" si="1"/>
        <v>7</v>
      </c>
    </row>
    <row r="12" spans="1:12" x14ac:dyDescent="0.25">
      <c r="A12" s="2">
        <v>45670</v>
      </c>
      <c r="B12" s="3" t="s">
        <v>16</v>
      </c>
      <c r="C12" s="3" t="s">
        <v>29</v>
      </c>
      <c r="D12" s="3" t="s">
        <v>58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  <c r="K12">
        <f t="shared" si="0"/>
        <v>5</v>
      </c>
      <c r="L12">
        <f t="shared" si="1"/>
        <v>14</v>
      </c>
    </row>
    <row r="13" spans="1:12" x14ac:dyDescent="0.25">
      <c r="A13" s="2">
        <v>45671</v>
      </c>
      <c r="B13" s="3" t="s">
        <v>19</v>
      </c>
      <c r="C13" s="3" t="s">
        <v>30</v>
      </c>
      <c r="D13" s="3" t="s">
        <v>61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  <c r="K13">
        <f t="shared" si="0"/>
        <v>4</v>
      </c>
      <c r="L13">
        <f t="shared" si="1"/>
        <v>8</v>
      </c>
    </row>
    <row r="14" spans="1:12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  <c r="K14">
        <f t="shared" si="0"/>
        <v>5</v>
      </c>
      <c r="L14">
        <f t="shared" si="1"/>
        <v>5</v>
      </c>
    </row>
    <row r="15" spans="1:12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  <c r="K15">
        <f t="shared" si="0"/>
        <v>4</v>
      </c>
      <c r="L15">
        <f t="shared" si="1"/>
        <v>7</v>
      </c>
    </row>
    <row r="16" spans="1:12" x14ac:dyDescent="0.25">
      <c r="A16" s="2">
        <v>45674</v>
      </c>
      <c r="B16" s="3" t="s">
        <v>54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  <c r="K16">
        <f t="shared" si="0"/>
        <v>8</v>
      </c>
      <c r="L16">
        <f t="shared" si="1"/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0A6-CC25-4006-B6FA-BE5DA758CE2D}">
  <dimension ref="A1:O16"/>
  <sheetViews>
    <sheetView tabSelected="1" workbookViewId="0">
      <selection activeCell="O1" sqref="O1"/>
    </sheetView>
  </sheetViews>
  <sheetFormatPr defaultRowHeight="15" x14ac:dyDescent="0.25"/>
  <cols>
    <col min="1" max="1" width="13.85546875" customWidth="1"/>
    <col min="3" max="3" width="12" customWidth="1"/>
    <col min="4" max="4" width="10.7109375" customWidth="1"/>
    <col min="5" max="5" width="12.140625" customWidth="1"/>
    <col min="11" max="11" width="17" customWidth="1"/>
    <col min="12" max="12" width="14.5703125" customWidth="1"/>
    <col min="13" max="13" width="16.140625" customWidth="1"/>
    <col min="14" max="14" width="18.5703125" customWidth="1"/>
    <col min="15" max="15" width="12.8554687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51</v>
      </c>
      <c r="L1" s="1" t="s">
        <v>56</v>
      </c>
      <c r="M1" s="1" t="s">
        <v>63</v>
      </c>
      <c r="N1" s="1" t="s">
        <v>64</v>
      </c>
      <c r="O1" s="1"/>
    </row>
    <row r="2" spans="1:15" x14ac:dyDescent="0.25">
      <c r="A2" s="2">
        <v>45660</v>
      </c>
      <c r="B2" s="3" t="s">
        <v>52</v>
      </c>
      <c r="C2" s="3" t="s">
        <v>10</v>
      </c>
      <c r="D2" s="3" t="s">
        <v>57</v>
      </c>
      <c r="E2" s="3">
        <v>3</v>
      </c>
      <c r="F2" s="3">
        <v>650</v>
      </c>
      <c r="G2" s="3">
        <v>1950</v>
      </c>
      <c r="H2" s="3">
        <v>1800</v>
      </c>
      <c r="I2" s="3" t="s">
        <v>12</v>
      </c>
      <c r="K2">
        <f>LEN(B2)</f>
        <v>9</v>
      </c>
      <c r="L2">
        <f>LEN(D2)</f>
        <v>8</v>
      </c>
      <c r="M2" t="str">
        <f>TRIM(B2)</f>
        <v>North</v>
      </c>
      <c r="N2" t="str">
        <f>TRIM(D2)</f>
        <v>Laptop</v>
      </c>
    </row>
    <row r="3" spans="1:15" x14ac:dyDescent="0.25">
      <c r="A3" s="2">
        <v>45661</v>
      </c>
      <c r="B3" s="3" t="s">
        <v>53</v>
      </c>
      <c r="C3" s="3" t="s">
        <v>14</v>
      </c>
      <c r="D3" s="3" t="s">
        <v>15</v>
      </c>
      <c r="E3" s="3">
        <v>15</v>
      </c>
      <c r="F3" s="3">
        <v>25</v>
      </c>
      <c r="G3" s="3">
        <v>375</v>
      </c>
      <c r="H3" s="3">
        <v>400</v>
      </c>
      <c r="I3" s="3" t="s">
        <v>12</v>
      </c>
      <c r="K3">
        <f t="shared" ref="K3:K16" si="0">LEN(B3)</f>
        <v>6</v>
      </c>
      <c r="L3">
        <f t="shared" ref="L3:L16" si="1">LEN(D3)</f>
        <v>5</v>
      </c>
      <c r="M3" t="str">
        <f t="shared" ref="M3:M16" si="2">TRIM(B3)</f>
        <v>East</v>
      </c>
      <c r="N3" t="str">
        <f t="shared" ref="N3:N16" si="3">TRIM(D3)</f>
        <v>Mouse</v>
      </c>
    </row>
    <row r="4" spans="1:15" x14ac:dyDescent="0.25">
      <c r="A4" s="2">
        <v>45662</v>
      </c>
      <c r="B4" s="3" t="s">
        <v>54</v>
      </c>
      <c r="C4" s="3" t="s">
        <v>17</v>
      </c>
      <c r="D4" s="3" t="s">
        <v>58</v>
      </c>
      <c r="E4" s="3">
        <v>8</v>
      </c>
      <c r="F4" s="3">
        <v>45</v>
      </c>
      <c r="G4" s="3">
        <v>360</v>
      </c>
      <c r="H4" s="3">
        <v>350</v>
      </c>
      <c r="I4" s="3" t="s">
        <v>12</v>
      </c>
      <c r="K4">
        <f t="shared" si="0"/>
        <v>8</v>
      </c>
      <c r="L4">
        <f t="shared" si="1"/>
        <v>14</v>
      </c>
      <c r="M4" t="str">
        <f t="shared" si="2"/>
        <v>South</v>
      </c>
      <c r="N4" t="str">
        <f t="shared" si="3"/>
        <v>Keyboard</v>
      </c>
    </row>
    <row r="5" spans="1:15" x14ac:dyDescent="0.25">
      <c r="A5" s="2">
        <v>45663</v>
      </c>
      <c r="B5" s="3" t="s">
        <v>19</v>
      </c>
      <c r="C5" s="3" t="s">
        <v>20</v>
      </c>
      <c r="D5" s="3" t="s">
        <v>21</v>
      </c>
      <c r="E5" s="3">
        <v>4</v>
      </c>
      <c r="F5" s="3">
        <v>220</v>
      </c>
      <c r="G5" s="3">
        <v>880</v>
      </c>
      <c r="H5" s="3">
        <v>900</v>
      </c>
      <c r="I5" s="3" t="s">
        <v>12</v>
      </c>
      <c r="K5">
        <f t="shared" si="0"/>
        <v>4</v>
      </c>
      <c r="L5">
        <f t="shared" si="1"/>
        <v>7</v>
      </c>
      <c r="M5" t="str">
        <f t="shared" si="2"/>
        <v>West</v>
      </c>
      <c r="N5" t="str">
        <f t="shared" si="3"/>
        <v>Monitor</v>
      </c>
    </row>
    <row r="6" spans="1:15" x14ac:dyDescent="0.25">
      <c r="A6" s="2">
        <v>45664</v>
      </c>
      <c r="B6" s="3" t="s">
        <v>9</v>
      </c>
      <c r="C6" s="3" t="s">
        <v>22</v>
      </c>
      <c r="D6" s="3" t="s">
        <v>59</v>
      </c>
      <c r="E6" s="3">
        <v>2</v>
      </c>
      <c r="F6" s="3">
        <v>700</v>
      </c>
      <c r="G6" s="3">
        <v>1400</v>
      </c>
      <c r="H6" s="3">
        <v>1800</v>
      </c>
      <c r="I6" s="3" t="s">
        <v>23</v>
      </c>
      <c r="K6">
        <f t="shared" si="0"/>
        <v>5</v>
      </c>
      <c r="L6">
        <f t="shared" si="1"/>
        <v>9</v>
      </c>
      <c r="M6" t="str">
        <f t="shared" si="2"/>
        <v>North</v>
      </c>
      <c r="N6" t="str">
        <f t="shared" si="3"/>
        <v>Laptop</v>
      </c>
    </row>
    <row r="7" spans="1:15" x14ac:dyDescent="0.25">
      <c r="A7" s="2">
        <v>45665</v>
      </c>
      <c r="B7" s="3" t="s">
        <v>13</v>
      </c>
      <c r="C7" s="3" t="s">
        <v>24</v>
      </c>
      <c r="D7" s="3" t="s">
        <v>15</v>
      </c>
      <c r="E7" s="3">
        <v>10</v>
      </c>
      <c r="F7" s="3">
        <v>25</v>
      </c>
      <c r="G7" s="3">
        <v>250</v>
      </c>
      <c r="H7" s="3">
        <v>300</v>
      </c>
      <c r="I7" s="3" t="s">
        <v>12</v>
      </c>
      <c r="K7">
        <f t="shared" si="0"/>
        <v>4</v>
      </c>
      <c r="L7">
        <f t="shared" si="1"/>
        <v>5</v>
      </c>
      <c r="M7" t="str">
        <f t="shared" si="2"/>
        <v>East</v>
      </c>
      <c r="N7" t="str">
        <f t="shared" si="3"/>
        <v>Mouse</v>
      </c>
    </row>
    <row r="8" spans="1:15" x14ac:dyDescent="0.25">
      <c r="A8" s="2">
        <v>45666</v>
      </c>
      <c r="B8" s="3" t="s">
        <v>55</v>
      </c>
      <c r="C8" s="3" t="s">
        <v>25</v>
      </c>
      <c r="D8" s="3" t="s">
        <v>18</v>
      </c>
      <c r="E8" s="3">
        <v>6</v>
      </c>
      <c r="F8" s="3">
        <v>50</v>
      </c>
      <c r="G8" s="3">
        <v>300</v>
      </c>
      <c r="H8" s="3">
        <v>400</v>
      </c>
      <c r="I8" s="3" t="s">
        <v>12</v>
      </c>
      <c r="K8">
        <f t="shared" si="0"/>
        <v>9</v>
      </c>
      <c r="L8">
        <f t="shared" si="1"/>
        <v>8</v>
      </c>
      <c r="M8" t="str">
        <f t="shared" si="2"/>
        <v>South</v>
      </c>
      <c r="N8" t="str">
        <f t="shared" si="3"/>
        <v>Keyboard</v>
      </c>
    </row>
    <row r="9" spans="1:15" x14ac:dyDescent="0.25">
      <c r="A9" s="2">
        <v>45667</v>
      </c>
      <c r="B9" s="3" t="s">
        <v>19</v>
      </c>
      <c r="C9" s="3" t="s">
        <v>26</v>
      </c>
      <c r="D9" s="3" t="s">
        <v>11</v>
      </c>
      <c r="E9" s="3">
        <v>1</v>
      </c>
      <c r="F9" s="3">
        <v>650</v>
      </c>
      <c r="G9" s="3">
        <v>650</v>
      </c>
      <c r="H9" s="3">
        <v>1000</v>
      </c>
      <c r="I9" s="3" t="s">
        <v>23</v>
      </c>
      <c r="K9">
        <f t="shared" si="0"/>
        <v>4</v>
      </c>
      <c r="L9">
        <f t="shared" si="1"/>
        <v>6</v>
      </c>
      <c r="M9" t="str">
        <f t="shared" si="2"/>
        <v>West</v>
      </c>
      <c r="N9" t="str">
        <f t="shared" si="3"/>
        <v>Laptop</v>
      </c>
    </row>
    <row r="10" spans="1:15" x14ac:dyDescent="0.25">
      <c r="A10" s="2">
        <v>45668</v>
      </c>
      <c r="B10" s="3" t="s">
        <v>9</v>
      </c>
      <c r="C10" s="3" t="s">
        <v>27</v>
      </c>
      <c r="D10" s="3" t="s">
        <v>21</v>
      </c>
      <c r="E10" s="3">
        <v>5</v>
      </c>
      <c r="F10" s="3">
        <v>210</v>
      </c>
      <c r="G10" s="3">
        <v>1050</v>
      </c>
      <c r="H10" s="3">
        <v>900</v>
      </c>
      <c r="I10" s="3" t="s">
        <v>12</v>
      </c>
      <c r="K10">
        <f t="shared" si="0"/>
        <v>5</v>
      </c>
      <c r="L10">
        <f t="shared" si="1"/>
        <v>7</v>
      </c>
      <c r="M10" t="str">
        <f t="shared" si="2"/>
        <v>North</v>
      </c>
      <c r="N10" t="str">
        <f t="shared" si="3"/>
        <v>Monitor</v>
      </c>
    </row>
    <row r="11" spans="1:15" x14ac:dyDescent="0.25">
      <c r="A11" s="2">
        <v>45669</v>
      </c>
      <c r="B11" s="3" t="s">
        <v>62</v>
      </c>
      <c r="C11" s="3" t="s">
        <v>28</v>
      </c>
      <c r="D11" s="3" t="s">
        <v>60</v>
      </c>
      <c r="E11" s="3"/>
      <c r="F11" s="3">
        <v>20</v>
      </c>
      <c r="G11" s="3"/>
      <c r="H11" s="3">
        <v>250</v>
      </c>
      <c r="I11" s="3" t="s">
        <v>23</v>
      </c>
      <c r="K11">
        <f t="shared" si="0"/>
        <v>10</v>
      </c>
      <c r="L11">
        <f t="shared" si="1"/>
        <v>7</v>
      </c>
      <c r="M11" t="str">
        <f t="shared" si="2"/>
        <v>East</v>
      </c>
      <c r="N11" t="str">
        <f t="shared" si="3"/>
        <v>Mouse</v>
      </c>
    </row>
    <row r="12" spans="1:15" x14ac:dyDescent="0.25">
      <c r="A12" s="2">
        <v>45670</v>
      </c>
      <c r="B12" s="3" t="s">
        <v>16</v>
      </c>
      <c r="C12" s="3" t="s">
        <v>29</v>
      </c>
      <c r="D12" s="3" t="s">
        <v>58</v>
      </c>
      <c r="E12" s="3">
        <v>9</v>
      </c>
      <c r="F12" s="3">
        <v>40</v>
      </c>
      <c r="G12" s="3">
        <v>360</v>
      </c>
      <c r="H12" s="3">
        <v>350</v>
      </c>
      <c r="I12" s="3" t="s">
        <v>12</v>
      </c>
      <c r="K12">
        <f t="shared" si="0"/>
        <v>5</v>
      </c>
      <c r="L12">
        <f t="shared" si="1"/>
        <v>14</v>
      </c>
      <c r="M12" t="str">
        <f t="shared" si="2"/>
        <v>South</v>
      </c>
      <c r="N12" t="str">
        <f t="shared" si="3"/>
        <v>Keyboard</v>
      </c>
    </row>
    <row r="13" spans="1:15" x14ac:dyDescent="0.25">
      <c r="A13" s="2">
        <v>45671</v>
      </c>
      <c r="B13" s="3" t="s">
        <v>19</v>
      </c>
      <c r="C13" s="3" t="s">
        <v>30</v>
      </c>
      <c r="D13" s="3" t="s">
        <v>61</v>
      </c>
      <c r="E13" s="3">
        <v>2</v>
      </c>
      <c r="F13" s="3">
        <v>700</v>
      </c>
      <c r="G13" s="3">
        <v>1400</v>
      </c>
      <c r="H13" s="3">
        <v>1300</v>
      </c>
      <c r="I13" s="3" t="s">
        <v>12</v>
      </c>
      <c r="K13">
        <f t="shared" si="0"/>
        <v>4</v>
      </c>
      <c r="L13">
        <f t="shared" si="1"/>
        <v>8</v>
      </c>
      <c r="M13" t="str">
        <f t="shared" si="2"/>
        <v>West</v>
      </c>
      <c r="N13" t="str">
        <f t="shared" si="3"/>
        <v>Laptop</v>
      </c>
    </row>
    <row r="14" spans="1:15" x14ac:dyDescent="0.25">
      <c r="A14" s="2">
        <v>45672</v>
      </c>
      <c r="B14" s="3" t="s">
        <v>9</v>
      </c>
      <c r="C14" s="3" t="s">
        <v>31</v>
      </c>
      <c r="D14" s="3" t="s">
        <v>15</v>
      </c>
      <c r="E14" s="3">
        <v>5</v>
      </c>
      <c r="F14" s="3">
        <v>30</v>
      </c>
      <c r="G14" s="3">
        <v>150</v>
      </c>
      <c r="H14" s="3">
        <v>200</v>
      </c>
      <c r="I14" s="3" t="s">
        <v>12</v>
      </c>
      <c r="K14">
        <f t="shared" si="0"/>
        <v>5</v>
      </c>
      <c r="L14">
        <f t="shared" si="1"/>
        <v>5</v>
      </c>
      <c r="M14" t="str">
        <f t="shared" si="2"/>
        <v>North</v>
      </c>
      <c r="N14" t="str">
        <f t="shared" si="3"/>
        <v>Mouse</v>
      </c>
    </row>
    <row r="15" spans="1:15" x14ac:dyDescent="0.25">
      <c r="A15" s="2">
        <v>45673</v>
      </c>
      <c r="B15" s="3" t="s">
        <v>13</v>
      </c>
      <c r="C15" s="3" t="s">
        <v>32</v>
      </c>
      <c r="D15" s="3" t="s">
        <v>21</v>
      </c>
      <c r="E15" s="3">
        <v>3</v>
      </c>
      <c r="F15" s="3">
        <v>230</v>
      </c>
      <c r="G15" s="3">
        <v>690</v>
      </c>
      <c r="H15" s="3">
        <v>900</v>
      </c>
      <c r="I15" s="3" t="s">
        <v>23</v>
      </c>
      <c r="K15">
        <f t="shared" si="0"/>
        <v>4</v>
      </c>
      <c r="L15">
        <f t="shared" si="1"/>
        <v>7</v>
      </c>
      <c r="M15" t="str">
        <f t="shared" si="2"/>
        <v>East</v>
      </c>
      <c r="N15" t="str">
        <f t="shared" si="3"/>
        <v>Monitor</v>
      </c>
    </row>
    <row r="16" spans="1:15" x14ac:dyDescent="0.25">
      <c r="A16" s="2">
        <v>45674</v>
      </c>
      <c r="B16" s="3" t="s">
        <v>54</v>
      </c>
      <c r="C16" s="3" t="s">
        <v>33</v>
      </c>
      <c r="D16" s="3" t="s">
        <v>18</v>
      </c>
      <c r="E16" s="3"/>
      <c r="F16" s="3"/>
      <c r="G16" s="3"/>
      <c r="H16" s="3">
        <v>300</v>
      </c>
      <c r="I16" s="3" t="s">
        <v>12</v>
      </c>
      <c r="K16">
        <f t="shared" si="0"/>
        <v>8</v>
      </c>
      <c r="L16">
        <f t="shared" si="1"/>
        <v>8</v>
      </c>
      <c r="M16" t="str">
        <f t="shared" si="2"/>
        <v>South</v>
      </c>
      <c r="N16" t="str">
        <f t="shared" si="3"/>
        <v>Keyboard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COUNTBLANK</vt:lpstr>
      <vt:lpstr>MIN</vt:lpstr>
      <vt:lpstr>MAX</vt:lpstr>
      <vt:lpstr>LEN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2015-06-05T18:17:20Z</dcterms:created>
  <dcterms:modified xsi:type="dcterms:W3CDTF">2025-10-24T15:57:56Z</dcterms:modified>
</cp:coreProperties>
</file>